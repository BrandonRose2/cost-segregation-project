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Bldg 1" sheetId="3" state="visible" r:id="rId5"/>
    <sheet name="Bldg 2" sheetId="4" state="visible" r:id="rId6"/>
    <sheet name="Bldg 3" sheetId="5" state="visible" r:id="rId7"/>
    <sheet name="Bldg 4" sheetId="6" state="visible" r:id="rId8"/>
    <sheet name="Bldg 5" sheetId="7" state="visible" r:id="rId9"/>
    <sheet name="Bldg 6" sheetId="8" state="visible" r:id="rId10"/>
    <sheet name="Bldg 7" sheetId="9" state="visible" r:id="rId11"/>
    <sheet name="Bldg 8" sheetId="10" state="visible" r:id="rId12"/>
    <sheet name="Bldg 9" sheetId="11" state="visible" r:id="rId13"/>
    <sheet name="Offic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<sst xmlns="http://schemas.openxmlformats.org/spreadsheetml/2006/main" count="2231" uniqueCount="165">
  <si>
    <t xml:space="preserve">Coral Village Housing LP</t>
  </si>
  <si>
    <t xml:space="preserve">Coral Village — 121 NE 10th Pl, Cape Coral, FL 33909</t>
  </si>
  <si>
    <t xml:space="preserve">EIN: 87-2205593    ·    FYE: December 31, 2024    ·    Year of Change: 1/1/2024</t>
  </si>
  <si>
    <t xml:space="preserve">Summary of Cost Segregation Adjustments — CSSI Report #107752-01 (CAM — DCN #7)</t>
  </si>
  <si>
    <t xml:space="preserve">Acq Date</t>
  </si>
  <si>
    <t xml:space="preserve">Asset Description</t>
  </si>
  <si>
    <t xml:space="preserve">Total</t>
  </si>
  <si>
    <t xml:space="preserve">Site</t>
  </si>
  <si>
    <t xml:space="preserve">Bldg 1</t>
  </si>
  <si>
    <t xml:space="preserve">Bldg 2</t>
  </si>
  <si>
    <t xml:space="preserve">Bldg 3</t>
  </si>
  <si>
    <t xml:space="preserve">Bldg 4</t>
  </si>
  <si>
    <t xml:space="preserve">Bldg 5</t>
  </si>
  <si>
    <t xml:space="preserve">Bldg 6</t>
  </si>
  <si>
    <t xml:space="preserve">Bldg 7</t>
  </si>
  <si>
    <t xml:space="preserve">Bldg 8</t>
  </si>
  <si>
    <t xml:space="preserve">Bldg 9</t>
  </si>
  <si>
    <t xml:space="preserve">Office</t>
  </si>
  <si>
    <t xml:space="preserve">9/22/21</t>
  </si>
  <si>
    <t xml:space="preserve">2-Building</t>
  </si>
  <si>
    <t xml:space="preserve">3-Land Improvements</t>
  </si>
  <si>
    <t xml:space="preserve">4-Equipment</t>
  </si>
  <si>
    <t xml:space="preserve">Grand Total</t>
  </si>
  <si>
    <t xml:space="preserve">MACRS Reclassification</t>
  </si>
  <si>
    <t xml:space="preserve">2-Building-7yr</t>
  </si>
  <si>
    <t xml:space="preserve">2-Building-15yr</t>
  </si>
  <si>
    <t xml:space="preserve">2-Building-27.5yr</t>
  </si>
  <si>
    <t xml:space="preserve">3-Land Improvements-7yr</t>
  </si>
  <si>
    <t xml:space="preserve">3-Land Improvements-15yr</t>
  </si>
  <si>
    <t xml:space="preserve">3-Land Improvements-27.5yr</t>
  </si>
  <si>
    <t xml:space="preserve">4-Equipment-7yr</t>
  </si>
  <si>
    <t xml:space="preserve">4-Equipment-15yr</t>
  </si>
  <si>
    <t xml:space="preserve">4-Equipment-27.5yr</t>
  </si>
  <si>
    <t xml:space="preserve">2-Building-5yr</t>
  </si>
  <si>
    <t xml:space="preserve">3-Land Improvements-5yr</t>
  </si>
  <si>
    <t xml:space="preserve">4-Equipment-5yr</t>
  </si>
  <si>
    <t xml:space="preserve">Total MACRS Reclassification</t>
  </si>
  <si>
    <t xml:space="preserve">Difference (should be zero)</t>
  </si>
  <si>
    <t xml:space="preserve">End Depreciation Reconciliation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</si>
  <si>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</si>
  <si>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</si>
  <si>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</si>
  <si>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Check vs. unit-tab 481(a) cells (should be zero)</t>
  </si>
  <si>
    <t xml:space="preserve">Notes</t>
  </si>
  <si>
    <t xml:space="preserve">1. Total footed §481(a) adjustment across all units: -265,512.33 (Regular Tax; AMT equals Regular Tax on every unit in this report).</t>
  </si>
  <si>
    <t xml:space="preserve">2. DISCREPANCY: the CSSI Summary Sheet prints a total of -277,137.61, but its own line items sum to -265,512.33. Unit schedules are internally consistent; the printed total does not foot. Refer to CSSI for correction.</t>
  </si>
  <si>
    <t xml:space="preserve">3. The Form 3115 face page states a tax year of change beginning 1/1/2025, while the attached statements and all 481(a) schedules use a year of change beginning 1/1/2024 (FYE 12/31/2024). Confirm the intended year of change with the preparer before filing.</t>
  </si>
  <si>
    <t xml:space="preserve">4. All End Depreciation, Net Book Value, totals, and 481(a) cells are live formulas; asset-level inputs are transcribed from the CSSI PDF. The Difference and Check rows must remain zero after any edit.</t>
  </si>
  <si>
    <t xml:space="preserve">Site — Attachment to Form 3115 (DCN #7, Rev. Proc. 2024-23 §6.01)</t>
  </si>
  <si>
    <t xml:space="preserve">Source: CSSI Report #107752-01, "Coral Village Housing LP - 3115 - 107752-01 - Combined.pdf"</t>
  </si>
  <si>
    <t xml:space="preserve">CALCULATION OF §481(a) ADJUSTMENT — REGULAR TAX</t>
  </si>
  <si>
    <t xml:space="preserve">As Previously Filed</t>
  </si>
  <si>
    <t xml:space="preserve">Asset</t>
  </si>
  <si>
    <t xml:space="preserve">Property Description</t>
  </si>
  <si>
    <t xml:space="preserve">Date In Service</t>
  </si>
  <si>
    <t xml:space="preserve">Cost</t>
  </si>
  <si>
    <t xml:space="preserve">Sec 179 Exp</t>
  </si>
  <si>
    <t xml:space="preserve">Bonus Amt</t>
  </si>
  <si>
    <t xml:space="preserve">Tax Prior Depreciation</t>
  </si>
  <si>
    <t xml:space="preserve">Tax Current Depreciation</t>
  </si>
  <si>
    <t xml:space="preserve">End Depreciation</t>
  </si>
  <si>
    <t xml:space="preserve">Net Book Value</t>
  </si>
  <si>
    <t xml:space="preserve">Method</t>
  </si>
  <si>
    <t xml:space="preserve">Period</t>
  </si>
  <si>
    <t xml:space="preserve">S/L</t>
  </si>
  <si>
    <t xml:space="preserve">27.5</t>
  </si>
  <si>
    <t xml:space="preserve">150DB</t>
  </si>
  <si>
    <t xml:space="preserve">15.0</t>
  </si>
  <si>
    <t xml:space="preserve">200DB</t>
  </si>
  <si>
    <t xml:space="preserve">5.0</t>
  </si>
  <si>
    <t xml:space="preserve">After Cost Segregation Correction</t>
  </si>
  <si>
    <t xml:space="preserve">7.0</t>
  </si>
  <si>
    <t xml:space="preserve">Section 481(a) Adjustment — Regular Tax</t>
  </si>
  <si>
    <t xml:space="preserve">Depreciation reported previously</t>
  </si>
  <si>
    <t xml:space="preserve">Cost Segregation Corrected Depreciation</t>
  </si>
  <si>
    <t xml:space="preserve">CALCULATION OF §481(a) ADJUSTMENT — AMT</t>
  </si>
  <si>
    <t xml:space="preserve">As Previously Filed — AMT</t>
  </si>
  <si>
    <t xml:space="preserve">AMT Prior Depreciation</t>
  </si>
  <si>
    <t xml:space="preserve">AMT Current Depreciation</t>
  </si>
  <si>
    <t xml:space="preserve">After Cost Segregation Correction — AMT</t>
  </si>
  <si>
    <t xml:space="preserve">Section 481(a) Adjustment — AMT</t>
  </si>
  <si>
    <t xml:space="preserve">COST SEGREGATION STUDY — COST SUMMARY</t>
  </si>
  <si>
    <t xml:space="preserve">Total Site Cost</t>
  </si>
  <si>
    <t xml:space="preserve">Site Components: 7 Year</t>
  </si>
  <si>
    <t xml:space="preserve">% of Cost</t>
  </si>
  <si>
    <t xml:space="preserve">Site Improvements: 15 Year</t>
  </si>
  <si>
    <t xml:space="preserve">Site Structure: 27.5 Year</t>
  </si>
  <si>
    <t xml:space="preserve">COST SEGREGATION STUDY — COST DETAIL</t>
  </si>
  <si>
    <t xml:space="preserve">Property Category</t>
  </si>
  <si>
    <t xml:space="preserve">7 Year</t>
  </si>
  <si>
    <t xml:space="preserve">15 Year</t>
  </si>
  <si>
    <t xml:space="preserve">27.5 Year</t>
  </si>
  <si>
    <t xml:space="preserve">Site Components</t>
  </si>
  <si>
    <t xml:space="preserve">Movable Shed</t>
  </si>
  <si>
    <t xml:space="preserve">Site Work / Improvements</t>
  </si>
  <si>
    <t xml:space="preserve">Site Drainage</t>
  </si>
  <si>
    <t xml:space="preserve">Parking Lot</t>
  </si>
  <si>
    <t xml:space="preserve">Exterior Signage</t>
  </si>
  <si>
    <t xml:space="preserve">Parking Lot Striping / Barriers</t>
  </si>
  <si>
    <t xml:space="preserve">Sidewalks / Curbs</t>
  </si>
  <si>
    <t xml:space="preserve">Landscaping &amp; Flagpole</t>
  </si>
  <si>
    <t xml:space="preserve">Security Lighting Poles</t>
  </si>
  <si>
    <t xml:space="preserve">Exterior Fencing</t>
  </si>
  <si>
    <t xml:space="preserve">Dumpster Enclosures</t>
  </si>
  <si>
    <t xml:space="preserve">Swimming Pool</t>
  </si>
  <si>
    <t xml:space="preserve">Fire Hydrants</t>
  </si>
  <si>
    <t xml:space="preserve">Wood Bridge</t>
  </si>
  <si>
    <t xml:space="preserve">Exterior Equipment Concrete Pads</t>
  </si>
  <si>
    <t xml:space="preserve">Mailboxes</t>
  </si>
  <si>
    <t xml:space="preserve">Site Utilities</t>
  </si>
  <si>
    <t xml:space="preserve">ASSET ALLOCATION (per After Cost Segregation schedule)</t>
  </si>
  <si>
    <t xml:space="preserve">Asset (as reclassified)</t>
  </si>
  <si>
    <t xml:space="preserve">Total Allocation</t>
  </si>
  <si>
    <t xml:space="preserve">Check: Allocation vs. Cost Detail (should be zero)</t>
  </si>
  <si>
    <t xml:space="preserve">Bldg 1 — Attachment to Form 3115 (DCN #7, Rev. Proc. 2024-23 §6.01)</t>
  </si>
  <si>
    <t xml:space="preserve">Total Building Cost</t>
  </si>
  <si>
    <t xml:space="preserve">Building Components: 5 Year</t>
  </si>
  <si>
    <t xml:space="preserve">Building Structure: 27.5 Year</t>
  </si>
  <si>
    <t xml:space="preserve">5 Year</t>
  </si>
  <si>
    <t xml:space="preserve">Building Components</t>
  </si>
  <si>
    <t xml:space="preserve">Cabinets / Millwork</t>
  </si>
  <si>
    <t xml:space="preserve">Moldings</t>
  </si>
  <si>
    <t xml:space="preserve">Flooring - Vinyl Plank</t>
  </si>
  <si>
    <t xml:space="preserve">Door &amp; Window Guards</t>
  </si>
  <si>
    <t xml:space="preserve">Window Treatments</t>
  </si>
  <si>
    <t xml:space="preserve">Specialty HVAC - Dryer Vents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</si>
  <si>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</si>
  <si>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</si>
  <si>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</si>
  <si>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Sinks / Laundry</t>
  </si>
  <si>
    <t xml:space="preserve">Security / Exterior Lighting</t>
  </si>
  <si>
    <t xml:space="preserve">Access Control</t>
  </si>
  <si>
    <t xml:space="preserve">Appliances</t>
  </si>
  <si>
    <t xml:space="preserve">Building Structure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</si>
  <si>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</si>
  <si>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</si>
  <si>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</si>
  <si>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</si>
  <si>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</si>
  <si>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</si>
  <si>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</si>
  <si>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</si>
  <si>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</si>
  <si>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</si>
  <si>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</si>
  <si>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</si>
  <si>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Structural Framing</t>
  </si>
  <si>
    <t xml:space="preserve">Stairs / Balconies</t>
  </si>
  <si>
    <t xml:space="preserve">Bathroom Accessories</t>
  </si>
  <si>
    <t xml:space="preserve">Cabinets / Millwork - Restrooms</t>
  </si>
  <si>
    <t xml:space="preserve">Bldg 2 — Attachment to Form 3115 (DCN #7, Rev. Proc. 2024-23 §6.01)</t>
  </si>
  <si>
    <t xml:space="preserve">Flooring - Carpet</t>
  </si>
  <si>
    <t xml:space="preserve">Bldg 3 — Attachment to Form 3115 (DCN #7, Rev. Proc. 2024-23 §6.01)</t>
  </si>
  <si>
    <t xml:space="preserve">Bldg 4 — Attachment to Form 3115 (DCN #7, Rev. Proc. 2024-23 §6.01)</t>
  </si>
  <si>
    <t xml:space="preserve">Bldg 5 — Attachment to Form 3115 (DCN #7, Rev. Proc. 2024-23 §6.01)</t>
  </si>
  <si>
    <t xml:space="preserve">Bldg 6 — Attachment to Form 3115 (DCN #7, Rev. Proc. 2024-23 §6.01)</t>
  </si>
  <si>
    <t xml:space="preserve">Bldg 7 — Attachment to Form 3115 (DCN #7, Rev. Proc. 2024-23 §6.01)</t>
  </si>
  <si>
    <t xml:space="preserve">Bldg 8 — Attachment to Form 3115 (DCN #7, Rev. Proc. 2024-23 §6.01)</t>
  </si>
  <si>
    <t xml:space="preserve">Bldg 9 — Attachment to Form 3115 (DCN #7, Rev. Proc. 2024-23 §6.01)</t>
  </si>
  <si>
    <t xml:space="preserve">Office — Attachment to Form 3115 (DCN #7, Rev. Proc. 2024-23 §6.01)</t>
  </si>
  <si>
    <t xml:space="preserve">Security System</t>
  </si>
  <si>
    <t xml:space="preserve">Specialty Plumbing - Kitchen Sink / Laundry</t>
  </si>
  <si>
    <t xml:space="preserve">Canopies / Awnings</t>
  </si>
  <si>
    <t xml:space="preserve">Emergency Lighting</t>
  </si>
  <si>
    <t xml:space="preserve">Ceramic Tile Flooring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</si>
</sst>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"/>
    <numFmt numFmtId="166" formatCode="#,##0.00;\(#,##0.00\)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2"/>
        <bgColor rgb="FFF2F2F2"/>
      </patternFill>
    </fill>
    <fill>
      <patternFill patternType="solid">
        <fgColor rgb="FFFCE4C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double"/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double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C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14" min="4" style="0" width="12.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7" customFormat="false" ht="15" hidden="false" customHeight="fals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</row>
    <row r="8" customFormat="false" ht="15" hidden="false" customHeight="false" outlineLevel="0" collapsed="false">
      <c r="A8" s="5" t="s">
        <v>18</v>
      </c>
      <c r="B8" s="5" t="s">
        <v>19</v>
      </c>
      <c r="C8" s="6" t="n">
        <f aca="false">SUM(D8:N8)</f>
        <v>3697723</v>
      </c>
      <c r="D8" s="6" t="n">
        <f aca="false">Site!$D$10</f>
        <v>531007.07</v>
      </c>
      <c r="E8" s="6" t="n">
        <f aca="false">'Bldg 1'!$D$10</f>
        <v>383408.73</v>
      </c>
      <c r="F8" s="6" t="n">
        <f aca="false">'Bldg 2'!$D$10</f>
        <v>302676.39</v>
      </c>
      <c r="G8" s="6" t="n">
        <f aca="false">'Bldg 3'!$D$10</f>
        <v>383408.73</v>
      </c>
      <c r="H8" s="6" t="n">
        <f aca="false">'Bldg 4'!$D$10</f>
        <v>302676.39</v>
      </c>
      <c r="I8" s="6" t="n">
        <f aca="false">'Bldg 5'!$D$10</f>
        <v>383408.73</v>
      </c>
      <c r="J8" s="6" t="n">
        <f aca="false">'Bldg 6'!$D$10</f>
        <v>302676.39</v>
      </c>
      <c r="K8" s="6" t="n">
        <f aca="false">'Bldg 7'!$D$10</f>
        <v>383408.73</v>
      </c>
      <c r="L8" s="6" t="n">
        <f aca="false">'Bldg 8'!$D$10</f>
        <v>302676.39</v>
      </c>
      <c r="M8" s="6" t="n">
        <f aca="false">'Bldg 9'!$D$10</f>
        <v>302676.39</v>
      </c>
      <c r="N8" s="6" t="n">
        <f aca="false">Office!$D$10</f>
        <v>119699.06</v>
      </c>
    </row>
    <row r="9" customFormat="false" ht="15" hidden="false" customHeight="false" outlineLevel="0" collapsed="false">
      <c r="A9" s="5" t="s">
        <v>18</v>
      </c>
      <c r="B9" s="5" t="s">
        <v>20</v>
      </c>
      <c r="C9" s="6" t="n">
        <f aca="false">SUM(D9:N9)</f>
        <v>402935</v>
      </c>
      <c r="D9" s="6" t="n">
        <f aca="false">Site!$D$11</f>
        <v>57862.97</v>
      </c>
      <c r="E9" s="6" t="n">
        <f aca="false">'Bldg 1'!$D$11</f>
        <v>41779.44</v>
      </c>
      <c r="F9" s="6" t="n">
        <f aca="false">'Bldg 2'!$D$11</f>
        <v>32982.17</v>
      </c>
      <c r="G9" s="6" t="n">
        <f aca="false">'Bldg 3'!$D$11</f>
        <v>41779.44</v>
      </c>
      <c r="H9" s="6" t="n">
        <f aca="false">'Bldg 4'!$D$11</f>
        <v>32982.17</v>
      </c>
      <c r="I9" s="6" t="n">
        <f aca="false">'Bldg 5'!$D$11</f>
        <v>41779.44</v>
      </c>
      <c r="J9" s="6" t="n">
        <f aca="false">'Bldg 6'!$D$11</f>
        <v>32982.17</v>
      </c>
      <c r="K9" s="6" t="n">
        <f aca="false">'Bldg 7'!$D$11</f>
        <v>41779.44</v>
      </c>
      <c r="L9" s="6" t="n">
        <f aca="false">'Bldg 8'!$D$11</f>
        <v>32982.17</v>
      </c>
      <c r="M9" s="6" t="n">
        <f aca="false">'Bldg 9'!$D$11</f>
        <v>32982.17</v>
      </c>
      <c r="N9" s="6" t="n">
        <f aca="false">Office!$D$11</f>
        <v>13043.42</v>
      </c>
    </row>
    <row r="10" customFormat="false" ht="15" hidden="false" customHeight="false" outlineLevel="0" collapsed="false">
      <c r="A10" s="5" t="s">
        <v>18</v>
      </c>
      <c r="B10" s="5" t="s">
        <v>21</v>
      </c>
      <c r="C10" s="6" t="n">
        <f aca="false">SUM(D10:N10)</f>
        <v>755504</v>
      </c>
      <c r="D10" s="6" t="n">
        <f aca="false">Site!$D$12</f>
        <v>108493.26</v>
      </c>
      <c r="E10" s="6" t="n">
        <f aca="false">'Bldg 1'!$D$12</f>
        <v>78336.54</v>
      </c>
      <c r="F10" s="6" t="n">
        <f aca="false">'Bldg 2'!$D$12</f>
        <v>61841.63</v>
      </c>
      <c r="G10" s="6" t="n">
        <f aca="false">'Bldg 3'!$D$12</f>
        <v>78336.54</v>
      </c>
      <c r="H10" s="6" t="n">
        <f aca="false">'Bldg 4'!$D$12</f>
        <v>61841.63</v>
      </c>
      <c r="I10" s="6" t="n">
        <f aca="false">'Bldg 5'!$D$12</f>
        <v>78336.54</v>
      </c>
      <c r="J10" s="6" t="n">
        <f aca="false">'Bldg 6'!$D$12</f>
        <v>61841.63</v>
      </c>
      <c r="K10" s="6" t="n">
        <f aca="false">'Bldg 7'!$D$12</f>
        <v>78336.54</v>
      </c>
      <c r="L10" s="6" t="n">
        <f aca="false">'Bldg 8'!$D$12</f>
        <v>61841.63</v>
      </c>
      <c r="M10" s="6" t="n">
        <f aca="false">'Bldg 9'!$D$12</f>
        <v>61841.63</v>
      </c>
      <c r="N10" s="6" t="n">
        <f aca="false">Office!$D$12</f>
        <v>24456.43</v>
      </c>
    </row>
    <row r="11" customFormat="false" ht="15" hidden="false" customHeight="false" outlineLevel="0" collapsed="false">
      <c r="A11" s="7"/>
      <c r="B11" s="8" t="s">
        <v>22</v>
      </c>
      <c r="C11" s="9" t="n">
        <f aca="false">SUM(C8:C10)</f>
        <v>4856162</v>
      </c>
      <c r="D11" s="9" t="n">
        <f aca="false">SUM(D8:D10)</f>
        <v>697363.3</v>
      </c>
      <c r="E11" s="9" t="n">
        <f aca="false">SUM(E8:E10)</f>
        <v>503524.71</v>
      </c>
      <c r="F11" s="9" t="n">
        <f aca="false">SUM(F8:F10)</f>
        <v>397500.19</v>
      </c>
      <c r="G11" s="9" t="n">
        <f aca="false">SUM(G8:G10)</f>
        <v>503524.71</v>
      </c>
      <c r="H11" s="9" t="n">
        <f aca="false">SUM(H8:H10)</f>
        <v>397500.19</v>
      </c>
      <c r="I11" s="9" t="n">
        <f aca="false">SUM(I8:I10)</f>
        <v>503524.71</v>
      </c>
      <c r="J11" s="9" t="n">
        <f aca="false">SUM(J8:J10)</f>
        <v>397500.19</v>
      </c>
      <c r="K11" s="9" t="n">
        <f aca="false">SUM(K8:K10)</f>
        <v>503524.71</v>
      </c>
      <c r="L11" s="9" t="n">
        <f aca="false">SUM(L8:L10)</f>
        <v>397500.19</v>
      </c>
      <c r="M11" s="9" t="n">
        <f aca="false">SUM(M8:M10)</f>
        <v>397500.19</v>
      </c>
      <c r="N11" s="9" t="n">
        <f aca="false">SUM(N8:N10)</f>
        <v>157198.91</v>
      </c>
    </row>
    <row r="13" customFormat="false" ht="15" hidden="false" customHeight="false" outlineLevel="0" collapsed="false">
      <c r="B13" s="10" t="s">
        <v>23</v>
      </c>
    </row>
    <row r="14" customFormat="false" ht="15" hidden="false" customHeight="false" outlineLevel="0" collapsed="false">
      <c r="A14" s="5" t="s">
        <v>18</v>
      </c>
      <c r="B14" s="5" t="s">
        <v>24</v>
      </c>
      <c r="C14" s="6" t="n">
        <f aca="false">SUM(D14:N14)</f>
        <v>1284.15</v>
      </c>
      <c r="D14" s="6" t="n">
        <f aca="false">Site!$D$17</f>
        <v>1284.15</v>
      </c>
      <c r="E14" s="6"/>
      <c r="F14" s="6"/>
      <c r="G14" s="6"/>
      <c r="H14" s="6"/>
      <c r="I14" s="6"/>
      <c r="J14" s="6"/>
      <c r="K14" s="6"/>
      <c r="L14" s="6"/>
      <c r="M14" s="6"/>
      <c r="N14" s="6"/>
    </row>
    <row r="15" customFormat="false" ht="15" hidden="false" customHeight="false" outlineLevel="0" collapsed="false">
      <c r="A15" s="5" t="s">
        <v>18</v>
      </c>
      <c r="B15" s="5" t="s">
        <v>25</v>
      </c>
      <c r="C15" s="6" t="n">
        <f aca="false">SUM(D15:N15)</f>
        <v>290971.55</v>
      </c>
      <c r="D15" s="6" t="n">
        <f aca="false">Site!$D$18</f>
        <v>290971.55</v>
      </c>
      <c r="E15" s="6"/>
      <c r="F15" s="6"/>
      <c r="G15" s="6"/>
      <c r="H15" s="6"/>
      <c r="I15" s="6"/>
      <c r="J15" s="6"/>
      <c r="K15" s="6"/>
      <c r="L15" s="6"/>
      <c r="M15" s="6"/>
      <c r="N15" s="6"/>
    </row>
    <row r="16" customFormat="false" ht="15" hidden="false" customHeight="false" outlineLevel="0" collapsed="false">
      <c r="A16" s="5" t="s">
        <v>18</v>
      </c>
      <c r="B16" s="5" t="s">
        <v>26</v>
      </c>
      <c r="C16" s="6" t="n">
        <f aca="false">SUM(D16:N16)</f>
        <v>2841737</v>
      </c>
      <c r="D16" s="6" t="n">
        <f aca="false">Site!$D$19</f>
        <v>238751.37</v>
      </c>
      <c r="E16" s="6" t="n">
        <f aca="false">'Bldg 1'!$D$18+'Bldg 1'!$D$20</f>
        <v>318990.65</v>
      </c>
      <c r="F16" s="6" t="n">
        <f aca="false">'Bldg 2'!$D$18+'Bldg 2'!$D$20</f>
        <v>242958.97</v>
      </c>
      <c r="G16" s="6" t="n">
        <f aca="false">'Bldg 3'!$D$18+'Bldg 3'!$D$20</f>
        <v>318990.65</v>
      </c>
      <c r="H16" s="6" t="n">
        <f aca="false">'Bldg 4'!$D$18+'Bldg 4'!$D$20</f>
        <v>242958.97</v>
      </c>
      <c r="I16" s="6" t="n">
        <f aca="false">'Bldg 5'!$D$18+'Bldg 5'!$D$20</f>
        <v>318990.65</v>
      </c>
      <c r="J16" s="6" t="n">
        <f aca="false">'Bldg 6'!$D$18+'Bldg 6'!$D$20</f>
        <v>242958.97</v>
      </c>
      <c r="K16" s="6" t="n">
        <f aca="false">'Bldg 7'!$D$18+'Bldg 7'!$D$20</f>
        <v>318990.65</v>
      </c>
      <c r="L16" s="6" t="n">
        <f aca="false">'Bldg 8'!$D$18+'Bldg 8'!$D$20</f>
        <v>242958.97</v>
      </c>
      <c r="M16" s="6" t="n">
        <f aca="false">'Bldg 9'!$D$18+'Bldg 9'!$D$20</f>
        <v>242958.97</v>
      </c>
      <c r="N16" s="6" t="n">
        <f aca="false">Office!$D$18+Office!$D$20</f>
        <v>112228.18</v>
      </c>
    </row>
    <row r="17" customFormat="false" ht="15" hidden="false" customHeight="false" outlineLevel="0" collapsed="false">
      <c r="A17" s="5" t="s">
        <v>18</v>
      </c>
      <c r="B17" s="5" t="s">
        <v>27</v>
      </c>
      <c r="C17" s="6" t="n">
        <f aca="false">SUM(D17:N17)</f>
        <v>139.93</v>
      </c>
      <c r="D17" s="6" t="n">
        <f aca="false">Site!$D$20</f>
        <v>139.93</v>
      </c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Format="false" ht="15" hidden="false" customHeight="false" outlineLevel="0" collapsed="false">
      <c r="A18" s="5" t="s">
        <v>18</v>
      </c>
      <c r="B18" s="5" t="s">
        <v>28</v>
      </c>
      <c r="C18" s="6" t="n">
        <f aca="false">SUM(D18:N18)</f>
        <v>31706.69</v>
      </c>
      <c r="D18" s="6" t="n">
        <f aca="false">Site!$D$21</f>
        <v>31706.69</v>
      </c>
      <c r="E18" s="6"/>
      <c r="F18" s="6"/>
      <c r="G18" s="6"/>
      <c r="H18" s="6"/>
      <c r="I18" s="6"/>
      <c r="J18" s="6"/>
      <c r="K18" s="6"/>
      <c r="L18" s="6"/>
      <c r="M18" s="6"/>
      <c r="N18" s="6"/>
    </row>
    <row r="19" customFormat="false" ht="15" hidden="false" customHeight="false" outlineLevel="0" collapsed="false">
      <c r="A19" s="5" t="s">
        <v>18</v>
      </c>
      <c r="B19" s="5" t="s">
        <v>29</v>
      </c>
      <c r="C19" s="6" t="n">
        <f aca="false">SUM(D19:N19)</f>
        <v>26016.35</v>
      </c>
      <c r="D19" s="6" t="n">
        <f aca="false">Site!$D$22</f>
        <v>26016.35</v>
      </c>
      <c r="E19" s="6"/>
      <c r="F19" s="6"/>
      <c r="G19" s="6"/>
      <c r="H19" s="6"/>
      <c r="I19" s="6"/>
      <c r="J19" s="6"/>
      <c r="K19" s="6"/>
      <c r="L19" s="6"/>
      <c r="M19" s="6"/>
      <c r="N19" s="6"/>
    </row>
    <row r="20" customFormat="false" ht="15" hidden="false" customHeight="false" outlineLevel="0" collapsed="false">
      <c r="A20" s="5" t="s">
        <v>18</v>
      </c>
      <c r="B20" s="5" t="s">
        <v>30</v>
      </c>
      <c r="C20" s="6" t="n">
        <f aca="false">SUM(D20:N20)</f>
        <v>262.37</v>
      </c>
      <c r="D20" s="6" t="n">
        <f aca="false">Site!$D$23</f>
        <v>262.37</v>
      </c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A21" s="5" t="s">
        <v>18</v>
      </c>
      <c r="B21" s="5" t="s">
        <v>31</v>
      </c>
      <c r="C21" s="6" t="n">
        <f aca="false">SUM(D21:N21)</f>
        <v>59450.16</v>
      </c>
      <c r="D21" s="6" t="n">
        <f aca="false">Site!$D$24</f>
        <v>59450.16</v>
      </c>
      <c r="E21" s="6"/>
      <c r="F21" s="6"/>
      <c r="G21" s="6"/>
      <c r="H21" s="6"/>
      <c r="I21" s="6"/>
      <c r="J21" s="6"/>
      <c r="K21" s="6"/>
      <c r="L21" s="6"/>
      <c r="M21" s="6"/>
      <c r="N21" s="6"/>
    </row>
    <row r="22" customFormat="false" ht="15" hidden="false" customHeight="false" outlineLevel="0" collapsed="false">
      <c r="A22" s="5" t="s">
        <v>18</v>
      </c>
      <c r="B22" s="5" t="s">
        <v>32</v>
      </c>
      <c r="C22" s="6" t="n">
        <f aca="false">SUM(D22:N22)</f>
        <v>528354.02</v>
      </c>
      <c r="D22" s="6" t="n">
        <f aca="false">Site!$D$25</f>
        <v>48780.73</v>
      </c>
      <c r="E22" s="6" t="n">
        <f aca="false">'Bldg 1'!$D$22</f>
        <v>58770.74</v>
      </c>
      <c r="F22" s="6" t="n">
        <f aca="false">'Bldg 2'!$D$22</f>
        <v>44762.69</v>
      </c>
      <c r="G22" s="6" t="n">
        <f aca="false">'Bldg 3'!$D$22</f>
        <v>58770.74</v>
      </c>
      <c r="H22" s="6" t="n">
        <f aca="false">'Bldg 4'!$D$22</f>
        <v>44762.69</v>
      </c>
      <c r="I22" s="6" t="n">
        <f aca="false">'Bldg 5'!$D$22</f>
        <v>58770.74</v>
      </c>
      <c r="J22" s="6" t="n">
        <f aca="false">'Bldg 6'!$D$22</f>
        <v>44762.69</v>
      </c>
      <c r="K22" s="6" t="n">
        <f aca="false">'Bldg 7'!$D$22</f>
        <v>58770.74</v>
      </c>
      <c r="L22" s="6" t="n">
        <f aca="false">'Bldg 8'!$D$22</f>
        <v>44762.69</v>
      </c>
      <c r="M22" s="6" t="n">
        <f aca="false">'Bldg 9'!$D$22</f>
        <v>44762.69</v>
      </c>
      <c r="N22" s="6" t="n">
        <f aca="false">Office!$D$22</f>
        <v>20676.88</v>
      </c>
    </row>
    <row r="23" customFormat="false" ht="15" hidden="false" customHeight="false" outlineLevel="0" collapsed="false">
      <c r="A23" s="5" t="s">
        <v>18</v>
      </c>
      <c r="B23" s="5" t="s">
        <v>33</v>
      </c>
      <c r="C23" s="6" t="n">
        <f aca="false">SUM(D23:N23)</f>
        <v>819502.45</v>
      </c>
      <c r="D23" s="6"/>
      <c r="E23" s="6" t="n">
        <f aca="false">'Bldg 1'!$D$17</f>
        <v>95762.44</v>
      </c>
      <c r="F23" s="6" t="n">
        <f aca="false">'Bldg 2'!$D$17</f>
        <v>83590.83</v>
      </c>
      <c r="G23" s="6" t="n">
        <f aca="false">'Bldg 3'!$D$17</f>
        <v>95762.44</v>
      </c>
      <c r="H23" s="6" t="n">
        <f aca="false">'Bldg 4'!$D$17</f>
        <v>83590.83</v>
      </c>
      <c r="I23" s="6" t="n">
        <f aca="false">'Bldg 5'!$D$17</f>
        <v>95762.44</v>
      </c>
      <c r="J23" s="6" t="n">
        <f aca="false">'Bldg 6'!$D$17</f>
        <v>83590.83</v>
      </c>
      <c r="K23" s="6" t="n">
        <f aca="false">'Bldg 7'!$D$17</f>
        <v>95762.44</v>
      </c>
      <c r="L23" s="6" t="n">
        <f aca="false">'Bldg 8'!$D$17</f>
        <v>83590.83</v>
      </c>
      <c r="M23" s="6" t="n">
        <f aca="false">'Bldg 9'!$D$17</f>
        <v>83590.83</v>
      </c>
      <c r="N23" s="6" t="n">
        <f aca="false">Office!$D$17</f>
        <v>18498.54</v>
      </c>
    </row>
    <row r="24" customFormat="false" ht="15" hidden="false" customHeight="false" outlineLevel="0" collapsed="false">
      <c r="A24" s="5" t="s">
        <v>18</v>
      </c>
      <c r="B24" s="5" t="s">
        <v>34</v>
      </c>
      <c r="C24" s="6" t="n">
        <f aca="false">SUM(D24:N24)</f>
        <v>89299.88</v>
      </c>
      <c r="D24" s="6"/>
      <c r="E24" s="6" t="n">
        <f aca="false">'Bldg 1'!$D$19</f>
        <v>10435.08</v>
      </c>
      <c r="F24" s="6" t="n">
        <f aca="false">'Bldg 2'!$D$19</f>
        <v>9108.76</v>
      </c>
      <c r="G24" s="6" t="n">
        <f aca="false">'Bldg 3'!$D$19</f>
        <v>10435.08</v>
      </c>
      <c r="H24" s="6" t="n">
        <f aca="false">'Bldg 4'!$D$19</f>
        <v>9108.76</v>
      </c>
      <c r="I24" s="6" t="n">
        <f aca="false">'Bldg 5'!$D$19</f>
        <v>10435.08</v>
      </c>
      <c r="J24" s="6" t="n">
        <f aca="false">'Bldg 6'!$D$19</f>
        <v>9108.76</v>
      </c>
      <c r="K24" s="6" t="n">
        <f aca="false">'Bldg 7'!$D$19</f>
        <v>10435.08</v>
      </c>
      <c r="L24" s="6" t="n">
        <f aca="false">'Bldg 8'!$D$19</f>
        <v>9108.76</v>
      </c>
      <c r="M24" s="6" t="n">
        <f aca="false">'Bldg 9'!$D$19</f>
        <v>9108.76</v>
      </c>
      <c r="N24" s="6" t="n">
        <f aca="false">Office!$D$19</f>
        <v>2015.76</v>
      </c>
    </row>
    <row r="25" customFormat="false" ht="15" hidden="false" customHeight="false" outlineLevel="0" collapsed="false">
      <c r="A25" s="5" t="s">
        <v>18</v>
      </c>
      <c r="B25" s="5" t="s">
        <v>35</v>
      </c>
      <c r="C25" s="6" t="n">
        <f aca="false">SUM(D25:N25)</f>
        <v>167437.45</v>
      </c>
      <c r="D25" s="6"/>
      <c r="E25" s="6" t="n">
        <f aca="false">'Bldg 1'!$D$21</f>
        <v>19565.8</v>
      </c>
      <c r="F25" s="6" t="n">
        <f aca="false">'Bldg 2'!$D$21</f>
        <v>17078.94</v>
      </c>
      <c r="G25" s="6" t="n">
        <f aca="false">'Bldg 3'!$D$21</f>
        <v>19565.8</v>
      </c>
      <c r="H25" s="6" t="n">
        <f aca="false">'Bldg 4'!$D$21</f>
        <v>17078.94</v>
      </c>
      <c r="I25" s="6" t="n">
        <f aca="false">'Bldg 5'!$D$21</f>
        <v>19565.8</v>
      </c>
      <c r="J25" s="6" t="n">
        <f aca="false">'Bldg 6'!$D$21</f>
        <v>17078.94</v>
      </c>
      <c r="K25" s="6" t="n">
        <f aca="false">'Bldg 7'!$D$21</f>
        <v>19565.8</v>
      </c>
      <c r="L25" s="6" t="n">
        <f aca="false">'Bldg 8'!$D$21</f>
        <v>17078.94</v>
      </c>
      <c r="M25" s="6" t="n">
        <f aca="false">'Bldg 9'!$D$21</f>
        <v>17078.94</v>
      </c>
      <c r="N25" s="6" t="n">
        <f aca="false">Office!$D$21</f>
        <v>3779.55</v>
      </c>
    </row>
    <row r="26" customFormat="false" ht="15" hidden="false" customHeight="false" outlineLevel="0" collapsed="false">
      <c r="A26" s="7"/>
      <c r="B26" s="8" t="s">
        <v>36</v>
      </c>
      <c r="C26" s="9" t="n">
        <f aca="false">SUM(C14:C25)</f>
        <v>4856162</v>
      </c>
      <c r="D26" s="9" t="n">
        <f aca="false">SUM(D14:D25)</f>
        <v>697363.3</v>
      </c>
      <c r="E26" s="9" t="n">
        <f aca="false">SUM(E14:E25)</f>
        <v>503524.71</v>
      </c>
      <c r="F26" s="9" t="n">
        <f aca="false">SUM(F14:F25)</f>
        <v>397500.19</v>
      </c>
      <c r="G26" s="9" t="n">
        <f aca="false">SUM(G14:G25)</f>
        <v>503524.71</v>
      </c>
      <c r="H26" s="9" t="n">
        <f aca="false">SUM(H14:H25)</f>
        <v>397500.19</v>
      </c>
      <c r="I26" s="9" t="n">
        <f aca="false">SUM(I14:I25)</f>
        <v>503524.71</v>
      </c>
      <c r="J26" s="9" t="n">
        <f aca="false">SUM(J14:J25)</f>
        <v>397500.19</v>
      </c>
      <c r="K26" s="9" t="n">
        <f aca="false">SUM(K14:K25)</f>
        <v>503524.71</v>
      </c>
      <c r="L26" s="9" t="n">
        <f aca="false">SUM(L14:L25)</f>
        <v>397500.19</v>
      </c>
      <c r="M26" s="9" t="n">
        <f aca="false">SUM(M14:M25)</f>
        <v>397500.19</v>
      </c>
      <c r="N26" s="9" t="n">
        <f aca="false">SUM(N14:N25)</f>
        <v>157198.91</v>
      </c>
    </row>
    <row r="27" customFormat="false" ht="15" hidden="false" customHeight="false" outlineLevel="0" collapsed="false">
      <c r="B27" s="11" t="s">
        <v>37</v>
      </c>
      <c r="C27" s="12" t="n">
        <f aca="false">C11-C26</f>
        <v>0</v>
      </c>
      <c r="D27" s="12" t="n">
        <f aca="false">D11-D26</f>
        <v>0</v>
      </c>
      <c r="E27" s="12" t="n">
        <f aca="false">E11-E26</f>
        <v>0</v>
      </c>
      <c r="F27" s="12" t="n">
        <f aca="false">F11-F26</f>
        <v>0</v>
      </c>
      <c r="G27" s="12" t="n">
        <f aca="false">G11-G26</f>
        <v>0</v>
      </c>
      <c r="H27" s="12" t="n">
        <f aca="false">H11-H26</f>
        <v>0</v>
      </c>
      <c r="I27" s="12" t="n">
        <f aca="false">I11-I26</f>
        <v>0</v>
      </c>
      <c r="J27" s="12" t="n">
        <f aca="false">J11-J26</f>
        <v>0</v>
      </c>
      <c r="K27" s="12" t="n">
        <f aca="false">K11-K26</f>
        <v>0</v>
      </c>
      <c r="L27" s="12" t="n">
        <f aca="false">L11-L26</f>
        <v>0</v>
      </c>
      <c r="M27" s="12" t="n">
        <f aca="false">M11-M26</f>
        <v>0</v>
      </c>
      <c r="N27" s="12" t="n">
        <f aca="false">N11-N26</f>
        <v>0</v>
      </c>
    </row>
    <row r="29" customFormat="false" ht="15" hidden="false" customHeight="false" outlineLevel="0" collapsed="false">
      <c r="B29" s="10" t="s">
        <v>38</v>
      </c>
    </row>
    <row r="30" customFormat="false" ht="15" hidden="false" customHeight="false" outlineLevel="0" collapsed="false">
      <c r="B30" s="11" t="s">
        <v>39</v>
      </c>
      <c r="C30" s="12" t="n">
        <f aca="false">SUM(D30:N30)</f>
        <v>1601046</v>
      </c>
      <c r="D30" s="12" t="n">
        <f aca="false">Site!$I$13</f>
        <v>229916.28</v>
      </c>
      <c r="E30" s="12" t="n">
        <f aca="false">'Bldg 1'!$I$13</f>
        <v>166008.92</v>
      </c>
      <c r="F30" s="12" t="n">
        <f aca="false">'Bldg 2'!$I$13</f>
        <v>131053.31</v>
      </c>
      <c r="G30" s="12" t="n">
        <f aca="false">'Bldg 3'!$I$13</f>
        <v>166008.92</v>
      </c>
      <c r="H30" s="12" t="n">
        <f aca="false">'Bldg 4'!$I$13</f>
        <v>131053.31</v>
      </c>
      <c r="I30" s="12" t="n">
        <f aca="false">'Bldg 5'!$I$13</f>
        <v>166008.92</v>
      </c>
      <c r="J30" s="12" t="n">
        <f aca="false">'Bldg 6'!$I$13</f>
        <v>131053.31</v>
      </c>
      <c r="K30" s="12" t="n">
        <f aca="false">'Bldg 7'!$I$13</f>
        <v>166008.92</v>
      </c>
      <c r="L30" s="12" t="n">
        <f aca="false">'Bldg 8'!$I$13</f>
        <v>131053.31</v>
      </c>
      <c r="M30" s="12" t="n">
        <f aca="false">'Bldg 9'!$I$13</f>
        <v>131053.31</v>
      </c>
      <c r="N30" s="12" t="n">
        <f aca="false">Office!$I$13</f>
        <v>51827.49</v>
      </c>
    </row>
    <row r="31" customFormat="false" ht="15" hidden="false" customHeight="false" outlineLevel="0" collapsed="false">
      <c r="B31" s="5" t="s">
        <v>24</v>
      </c>
      <c r="C31" s="6" t="n">
        <f aca="false">SUM(D31:N31)</f>
        <v>1284.15</v>
      </c>
      <c r="D31" s="6" t="n">
        <f aca="false">Site!$I$17</f>
        <v>1284.15</v>
      </c>
      <c r="E31" s="6"/>
      <c r="F31" s="6"/>
      <c r="G31" s="6"/>
      <c r="H31" s="6"/>
      <c r="I31" s="6"/>
      <c r="J31" s="6"/>
      <c r="K31" s="6"/>
      <c r="L31" s="6"/>
      <c r="M31" s="6"/>
      <c r="N31" s="6"/>
    </row>
    <row r="32" customFormat="false" ht="15" hidden="false" customHeight="false" outlineLevel="0" collapsed="false">
      <c r="B32" s="5" t="s">
        <v>25</v>
      </c>
      <c r="C32" s="6" t="n">
        <f aca="false">SUM(D32:N32)</f>
        <v>290971.55</v>
      </c>
      <c r="D32" s="6" t="n">
        <f aca="false">Site!$I$18</f>
        <v>290971.55</v>
      </c>
      <c r="E32" s="6"/>
      <c r="F32" s="6"/>
      <c r="G32" s="6"/>
      <c r="H32" s="6"/>
      <c r="I32" s="6"/>
      <c r="J32" s="6"/>
      <c r="K32" s="6"/>
      <c r="L32" s="6"/>
      <c r="M32" s="6"/>
      <c r="N32" s="6"/>
    </row>
    <row r="33" customFormat="false" ht="15" hidden="false" customHeight="false" outlineLevel="0" collapsed="false">
      <c r="B33" s="5" t="s">
        <v>26</v>
      </c>
      <c r="C33" s="6" t="n">
        <f aca="false">SUM(D33:N33)</f>
        <v>340147.25</v>
      </c>
      <c r="D33" s="6" t="n">
        <f aca="false">Site!$I$19</f>
        <v>28577.82</v>
      </c>
      <c r="E33" s="6" t="n">
        <f aca="false">'Bldg 1'!$I$18+'Bldg 1'!$I$20</f>
        <v>38182.21</v>
      </c>
      <c r="F33" s="6" t="n">
        <f aca="false">'Bldg 2'!$I$18+'Bldg 2'!$I$20</f>
        <v>29081.44</v>
      </c>
      <c r="G33" s="6" t="n">
        <f aca="false">'Bldg 3'!$I$18+'Bldg 3'!$I$20</f>
        <v>38182.21</v>
      </c>
      <c r="H33" s="6" t="n">
        <f aca="false">'Bldg 4'!$I$18+'Bldg 4'!$I$20</f>
        <v>29081.44</v>
      </c>
      <c r="I33" s="6" t="n">
        <f aca="false">'Bldg 5'!$I$18+'Bldg 5'!$I$20</f>
        <v>38182.21</v>
      </c>
      <c r="J33" s="6" t="n">
        <f aca="false">'Bldg 6'!$I$18+'Bldg 6'!$I$20</f>
        <v>29081.44</v>
      </c>
      <c r="K33" s="6" t="n">
        <f aca="false">'Bldg 7'!$I$18+'Bldg 7'!$I$20</f>
        <v>38182.21</v>
      </c>
      <c r="L33" s="6" t="n">
        <f aca="false">'Bldg 8'!$I$18+'Bldg 8'!$I$20</f>
        <v>29081.44</v>
      </c>
      <c r="M33" s="6" t="n">
        <f aca="false">'Bldg 9'!$I$18+'Bldg 9'!$I$20</f>
        <v>29081.44</v>
      </c>
      <c r="N33" s="6" t="n">
        <f aca="false">Office!$I$18+Office!$I$20</f>
        <v>13433.39</v>
      </c>
    </row>
    <row r="34" customFormat="false" ht="15" hidden="false" customHeight="false" outlineLevel="0" collapsed="false">
      <c r="B34" s="5" t="s">
        <v>27</v>
      </c>
      <c r="C34" s="6" t="n">
        <f aca="false">SUM(D34:N34)</f>
        <v>139.93</v>
      </c>
      <c r="D34" s="6" t="n">
        <f aca="false">Site!$I$20</f>
        <v>139.93</v>
      </c>
      <c r="E34" s="6"/>
      <c r="F34" s="6"/>
      <c r="G34" s="6"/>
      <c r="H34" s="6"/>
      <c r="I34" s="6"/>
      <c r="J34" s="6"/>
      <c r="K34" s="6"/>
      <c r="L34" s="6"/>
      <c r="M34" s="6"/>
      <c r="N34" s="6"/>
    </row>
    <row r="35" customFormat="false" ht="15" hidden="false" customHeight="false" outlineLevel="0" collapsed="false">
      <c r="B35" s="5" t="s">
        <v>28</v>
      </c>
      <c r="C35" s="6" t="n">
        <f aca="false">SUM(D35:N35)</f>
        <v>31706.69</v>
      </c>
      <c r="D35" s="6" t="n">
        <f aca="false">Site!$I$21</f>
        <v>31706.69</v>
      </c>
      <c r="E35" s="6"/>
      <c r="F35" s="6"/>
      <c r="G35" s="6"/>
      <c r="H35" s="6"/>
      <c r="I35" s="6"/>
      <c r="J35" s="6"/>
      <c r="K35" s="6"/>
      <c r="L35" s="6"/>
      <c r="M35" s="6"/>
      <c r="N35" s="6"/>
    </row>
    <row r="36" customFormat="false" ht="15" hidden="false" customHeight="false" outlineLevel="0" collapsed="false">
      <c r="B36" s="5" t="s">
        <v>29</v>
      </c>
      <c r="C36" s="6" t="n">
        <f aca="false">SUM(D36:N36)</f>
        <v>3114.08</v>
      </c>
      <c r="D36" s="6" t="n">
        <f aca="false">Site!$I$22</f>
        <v>3114.08</v>
      </c>
      <c r="E36" s="6"/>
      <c r="F36" s="6"/>
      <c r="G36" s="6"/>
      <c r="H36" s="6"/>
      <c r="I36" s="6"/>
      <c r="J36" s="6"/>
      <c r="K36" s="6"/>
      <c r="L36" s="6"/>
      <c r="M36" s="6"/>
      <c r="N36" s="6"/>
    </row>
    <row r="37" customFormat="false" ht="15" hidden="false" customHeight="false" outlineLevel="0" collapsed="false">
      <c r="B37" s="5" t="s">
        <v>30</v>
      </c>
      <c r="C37" s="6" t="n">
        <f aca="false">SUM(D37:N37)</f>
        <v>262.37</v>
      </c>
      <c r="D37" s="6" t="n">
        <f aca="false">Site!$I$23</f>
        <v>262.37</v>
      </c>
      <c r="E37" s="6"/>
      <c r="F37" s="6"/>
      <c r="G37" s="6"/>
      <c r="H37" s="6"/>
      <c r="I37" s="6"/>
      <c r="J37" s="6"/>
      <c r="K37" s="6"/>
      <c r="L37" s="6"/>
      <c r="M37" s="6"/>
      <c r="N37" s="6"/>
    </row>
    <row r="38" customFormat="false" ht="15" hidden="false" customHeight="false" outlineLevel="0" collapsed="false">
      <c r="B38" s="5" t="s">
        <v>31</v>
      </c>
      <c r="C38" s="6" t="n">
        <f aca="false">SUM(D38:N38)</f>
        <v>59450.16</v>
      </c>
      <c r="D38" s="6" t="n">
        <f aca="false">Site!$I$24</f>
        <v>59450.16</v>
      </c>
      <c r="E38" s="6"/>
      <c r="F38" s="6"/>
      <c r="G38" s="6"/>
      <c r="H38" s="6"/>
      <c r="I38" s="6"/>
      <c r="J38" s="6"/>
      <c r="K38" s="6"/>
      <c r="L38" s="6"/>
      <c r="M38" s="6"/>
      <c r="N38" s="6"/>
    </row>
    <row r="39" customFormat="false" ht="15" hidden="false" customHeight="false" outlineLevel="0" collapsed="false">
      <c r="B39" s="5" t="s">
        <v>32</v>
      </c>
      <c r="C39" s="6" t="n">
        <f aca="false">SUM(D39:N39)</f>
        <v>63242.37</v>
      </c>
      <c r="D39" s="6" t="n">
        <f aca="false">Site!$I$25</f>
        <v>5838.89</v>
      </c>
      <c r="E39" s="6" t="n">
        <f aca="false">'Bldg 1'!$I$22</f>
        <v>7034.69</v>
      </c>
      <c r="F39" s="6" t="n">
        <f aca="false">'Bldg 2'!$I$22</f>
        <v>5357.95</v>
      </c>
      <c r="G39" s="6" t="n">
        <f aca="false">'Bldg 3'!$I$22</f>
        <v>7034.69</v>
      </c>
      <c r="H39" s="6" t="n">
        <f aca="false">'Bldg 4'!$I$22</f>
        <v>5357.95</v>
      </c>
      <c r="I39" s="6" t="n">
        <f aca="false">'Bldg 5'!$I$22</f>
        <v>7034.69</v>
      </c>
      <c r="J39" s="6" t="n">
        <f aca="false">'Bldg 6'!$I$22</f>
        <v>5357.95</v>
      </c>
      <c r="K39" s="6" t="n">
        <f aca="false">'Bldg 7'!$I$22</f>
        <v>7034.69</v>
      </c>
      <c r="L39" s="6" t="n">
        <f aca="false">'Bldg 8'!$I$22</f>
        <v>5357.95</v>
      </c>
      <c r="M39" s="6" t="n">
        <f aca="false">'Bldg 9'!$I$22</f>
        <v>5357.95</v>
      </c>
      <c r="N39" s="6" t="n">
        <f aca="false">Office!$I$22</f>
        <v>2474.97</v>
      </c>
    </row>
    <row r="40" customFormat="false" ht="15" hidden="false" customHeight="false" outlineLevel="0" collapsed="false">
      <c r="B40" s="5" t="s">
        <v>33</v>
      </c>
      <c r="C40" s="6" t="n">
        <f aca="false">SUM(D40:N40)</f>
        <v>819502.45</v>
      </c>
      <c r="D40" s="6"/>
      <c r="E40" s="6" t="n">
        <f aca="false">'Bldg 1'!$I$17</f>
        <v>95762.44</v>
      </c>
      <c r="F40" s="6" t="n">
        <f aca="false">'Bldg 2'!$I$17</f>
        <v>83590.83</v>
      </c>
      <c r="G40" s="6" t="n">
        <f aca="false">'Bldg 3'!$I$17</f>
        <v>95762.44</v>
      </c>
      <c r="H40" s="6" t="n">
        <f aca="false">'Bldg 4'!$I$17</f>
        <v>83590.83</v>
      </c>
      <c r="I40" s="6" t="n">
        <f aca="false">'Bldg 5'!$I$17</f>
        <v>95762.44</v>
      </c>
      <c r="J40" s="6" t="n">
        <f aca="false">'Bldg 6'!$I$17</f>
        <v>83590.83</v>
      </c>
      <c r="K40" s="6" t="n">
        <f aca="false">'Bldg 7'!$I$17</f>
        <v>95762.44</v>
      </c>
      <c r="L40" s="6" t="n">
        <f aca="false">'Bldg 8'!$I$17</f>
        <v>83590.83</v>
      </c>
      <c r="M40" s="6" t="n">
        <f aca="false">'Bldg 9'!$I$17</f>
        <v>83590.83</v>
      </c>
      <c r="N40" s="6" t="n">
        <f aca="false">Office!$I$17</f>
        <v>18498.54</v>
      </c>
    </row>
    <row r="41" customFormat="false" ht="15" hidden="false" customHeight="false" outlineLevel="0" collapsed="false">
      <c r="B41" s="5" t="s">
        <v>34</v>
      </c>
      <c r="C41" s="6" t="n">
        <f aca="false">SUM(D41:N41)</f>
        <v>89299.88</v>
      </c>
      <c r="D41" s="6"/>
      <c r="E41" s="6" t="n">
        <f aca="false">'Bldg 1'!$I$19</f>
        <v>10435.08</v>
      </c>
      <c r="F41" s="6" t="n">
        <f aca="false">'Bldg 2'!$I$19</f>
        <v>9108.76</v>
      </c>
      <c r="G41" s="6" t="n">
        <f aca="false">'Bldg 3'!$I$19</f>
        <v>10435.08</v>
      </c>
      <c r="H41" s="6" t="n">
        <f aca="false">'Bldg 4'!$I$19</f>
        <v>9108.76</v>
      </c>
      <c r="I41" s="6" t="n">
        <f aca="false">'Bldg 5'!$I$19</f>
        <v>10435.08</v>
      </c>
      <c r="J41" s="6" t="n">
        <f aca="false">'Bldg 6'!$I$19</f>
        <v>9108.76</v>
      </c>
      <c r="K41" s="6" t="n">
        <f aca="false">'Bldg 7'!$I$19</f>
        <v>10435.08</v>
      </c>
      <c r="L41" s="6" t="n">
        <f aca="false">'Bldg 8'!$I$19</f>
        <v>9108.76</v>
      </c>
      <c r="M41" s="6" t="n">
        <f aca="false">'Bldg 9'!$I$19</f>
        <v>9108.76</v>
      </c>
      <c r="N41" s="6" t="n">
        <f aca="false">Office!$I$19</f>
        <v>2015.76</v>
      </c>
    </row>
    <row r="42" customFormat="false" ht="15" hidden="false" customHeight="false" outlineLevel="0" collapsed="false">
      <c r="B42" s="5" t="s">
        <v>35</v>
      </c>
      <c r="C42" s="6" t="n">
        <f aca="false">SUM(D42:N42)</f>
        <v>167437.45</v>
      </c>
      <c r="D42" s="6"/>
      <c r="E42" s="6" t="n">
        <f aca="false">'Bldg 1'!$I$21</f>
        <v>19565.8</v>
      </c>
      <c r="F42" s="6" t="n">
        <f aca="false">'Bldg 2'!$I$21</f>
        <v>17078.94</v>
      </c>
      <c r="G42" s="6" t="n">
        <f aca="false">'Bldg 3'!$I$21</f>
        <v>19565.8</v>
      </c>
      <c r="H42" s="6" t="n">
        <f aca="false">'Bldg 4'!$I$21</f>
        <v>17078.94</v>
      </c>
      <c r="I42" s="6" t="n">
        <f aca="false">'Bldg 5'!$I$21</f>
        <v>19565.8</v>
      </c>
      <c r="J42" s="6" t="n">
        <f aca="false">'Bldg 6'!$I$21</f>
        <v>17078.94</v>
      </c>
      <c r="K42" s="6" t="n">
        <f aca="false">'Bldg 7'!$I$21</f>
        <v>19565.8</v>
      </c>
      <c r="L42" s="6" t="n">
        <f aca="false">'Bldg 8'!$I$21</f>
        <v>17078.94</v>
      </c>
      <c r="M42" s="6" t="n">
        <f aca="false">'Bldg 9'!$I$21</f>
        <v>17078.94</v>
      </c>
      <c r="N42" s="6" t="n">
        <f aca="false">Office!$I$21</f>
        <v>3779.55</v>
      </c>
    </row>
    <row r="43" customFormat="false" ht="15" hidden="false" customHeight="false" outlineLevel="0" collapsed="false">
      <c r="A43" s="7"/>
      <c r="B43" s="8" t="s">
        <v>40</v>
      </c>
      <c r="C43" s="9" t="n">
        <f aca="false">SUM(C31:C42)</f>
        <v>1866558.33</v>
      </c>
      <c r="D43" s="9" t="n">
        <f aca="false">SUM(D31:D42)</f>
        <v>421345.64</v>
      </c>
      <c r="E43" s="9" t="n">
        <f aca="false">SUM(E31:E42)</f>
        <v>170980.22</v>
      </c>
      <c r="F43" s="9" t="n">
        <f aca="false">SUM(F31:F42)</f>
        <v>144217.92</v>
      </c>
      <c r="G43" s="9" t="n">
        <f aca="false">SUM(G31:G42)</f>
        <v>170980.22</v>
      </c>
      <c r="H43" s="9" t="n">
        <f aca="false">SUM(H31:H42)</f>
        <v>144217.92</v>
      </c>
      <c r="I43" s="9" t="n">
        <f aca="false">SUM(I31:I42)</f>
        <v>170980.22</v>
      </c>
      <c r="J43" s="9" t="n">
        <f aca="false">SUM(J31:J42)</f>
        <v>144217.92</v>
      </c>
      <c r="K43" s="9" t="n">
        <f aca="false">SUM(K31:K42)</f>
        <v>170980.22</v>
      </c>
      <c r="L43" s="9" t="n">
        <f aca="false">SUM(L31:L42)</f>
        <v>144217.92</v>
      </c>
      <c r="M43" s="9" t="n">
        <f aca="false">SUM(M31:M42)</f>
        <v>144217.92</v>
      </c>
      <c r="N43" s="9" t="n">
        <f aca="false">SUM(N31:N42)</f>
        <v>40202.21</v>
      </c>
    </row>
    <row r="44" customFormat="false" ht="15" hidden="false" customHeight="false" outlineLevel="0" collapsed="false">
      <c r="A44" s="13"/>
      <c r="B44" s="14" t="s">
        <v>41</v>
      </c>
      <c r="C44" s="15" t="n">
        <f aca="false">C30-C43</f>
        <v>-265512.33</v>
      </c>
      <c r="D44" s="15" t="n">
        <f aca="false">D30-D43</f>
        <v>-191429.36</v>
      </c>
      <c r="E44" s="15" t="n">
        <f aca="false">E30-E43</f>
        <v>-4971.30000000002</v>
      </c>
      <c r="F44" s="15" t="n">
        <f aca="false">F30-F43</f>
        <v>-13164.61</v>
      </c>
      <c r="G44" s="15" t="n">
        <f aca="false">G30-G43</f>
        <v>-4971.30000000002</v>
      </c>
      <c r="H44" s="15" t="n">
        <f aca="false">H30-H43</f>
        <v>-13164.61</v>
      </c>
      <c r="I44" s="15" t="n">
        <f aca="false">I30-I43</f>
        <v>-4971.30000000002</v>
      </c>
      <c r="J44" s="15" t="n">
        <f aca="false">J30-J43</f>
        <v>-13164.61</v>
      </c>
      <c r="K44" s="15" t="n">
        <f aca="false">K30-K43</f>
        <v>-4971.30000000002</v>
      </c>
      <c r="L44" s="15" t="n">
        <f aca="false">L30-L43</f>
        <v>-13164.61</v>
      </c>
      <c r="M44" s="15" t="n">
        <f aca="false">M30-M43</f>
        <v>-13164.61</v>
      </c>
      <c r="N44" s="15" t="n">
        <f aca="false">N30-N43</f>
        <v>11625.28</v>
      </c>
    </row>
    <row r="45" customFormat="false" ht="15" hidden="false" customHeight="false" outlineLevel="0" collapsed="false">
      <c r="B45" s="16" t="s">
        <v>42</v>
      </c>
      <c r="C45" s="17" t="n">
        <f aca="false">C44-(-265512.33)</f>
        <v>0</v>
      </c>
      <c r="D45" s="17" t="n">
        <f aca="false">D44-Site!$D$31</f>
        <v>0</v>
      </c>
      <c r="E45" s="17" t="n">
        <f aca="false">E44-'Bldg 1'!$D$28</f>
        <v>0</v>
      </c>
      <c r="F45" s="17" t="n">
        <f aca="false">F44-'Bldg 2'!$D$28</f>
        <v>0</v>
      </c>
      <c r="G45" s="17" t="n">
        <f aca="false">G44-'Bldg 3'!$D$28</f>
        <v>0</v>
      </c>
      <c r="H45" s="17" t="n">
        <f aca="false">H44-'Bldg 4'!$D$28</f>
        <v>0</v>
      </c>
      <c r="I45" s="17" t="n">
        <f aca="false">I44-'Bldg 5'!$D$28</f>
        <v>0</v>
      </c>
      <c r="J45" s="17" t="n">
        <f aca="false">J44-'Bldg 6'!$D$28</f>
        <v>0</v>
      </c>
      <c r="K45" s="17" t="n">
        <f aca="false">K44-'Bldg 7'!$D$28</f>
        <v>0</v>
      </c>
      <c r="L45" s="17" t="n">
        <f aca="false">L44-'Bldg 8'!$D$28</f>
        <v>0</v>
      </c>
      <c r="M45" s="17" t="n">
        <f aca="false">M44-'Bldg 9'!$D$28</f>
        <v>0</v>
      </c>
      <c r="N45" s="17" t="n">
        <f aca="false">N44-Office!$D$28</f>
        <v>0</v>
      </c>
    </row>
    <row r="47" customFormat="false" ht="15" hidden="false" customHeight="false" outlineLevel="0" collapsed="false">
      <c r="B47" s="18" t="s">
        <v>43</v>
      </c>
    </row>
    <row r="48" customFormat="false" ht="15" hidden="false" customHeight="false" outlineLevel="0" collapsed="false">
      <c r="B48" s="19" t="s">
        <v>44</v>
      </c>
    </row>
    <row r="49" customFormat="false" ht="15" hidden="false" customHeight="false" outlineLevel="0" collapsed="false">
      <c r="B49" s="19" t="s">
        <v>45</v>
      </c>
    </row>
    <row r="50" customFormat="false" ht="15" hidden="false" customHeight="false" outlineLevel="0" collapsed="false">
      <c r="B50" s="19" t="s">
        <v>46</v>
      </c>
    </row>
    <row r="51" customFormat="false" ht="15" hidden="false" customHeight="false" outlineLevel="0" collapsed="false">
      <c r="B51" s="19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48</v>
      </c>
    </row>
    <row r="5" customFormat="false" ht="15" hidden="false" customHeight="false" outlineLevel="0" collapsed="false">
      <c r="A5" s="16" t="s">
        <v>49</v>
      </c>
    </row>
    <row r="7" customFormat="false" ht="15" hidden="false" customHeight="false" outlineLevel="0" collapsed="false">
      <c r="A7" s="10" t="s">
        <v>50</v>
      </c>
    </row>
    <row r="8" customFormat="false" ht="15" hidden="false" customHeight="false" outlineLevel="0" collapsed="false">
      <c r="A8" s="21" t="s">
        <v>51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18</v>
      </c>
      <c r="D10" s="24" t="n">
        <v>531007.07</v>
      </c>
      <c r="E10" s="24" t="n">
        <v>0</v>
      </c>
      <c r="F10" s="24" t="n">
        <v>0</v>
      </c>
      <c r="G10" s="24" t="n">
        <v>44250.63</v>
      </c>
      <c r="H10" s="24" t="n">
        <v>19309.42</v>
      </c>
      <c r="I10" s="24" t="n">
        <f aca="false">G10+H10</f>
        <v>63560.05</v>
      </c>
      <c r="J10" s="24" t="n">
        <f aca="false">D10-I10</f>
        <v>467447.02</v>
      </c>
      <c r="K10" s="25" t="s">
        <v>64</v>
      </c>
      <c r="L10" s="25" t="s">
        <v>65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18</v>
      </c>
      <c r="D11" s="24" t="n">
        <v>57862.97</v>
      </c>
      <c r="E11" s="24" t="n">
        <v>0</v>
      </c>
      <c r="F11" s="24" t="n">
        <v>57862.97</v>
      </c>
      <c r="G11" s="24" t="n">
        <v>57862.97</v>
      </c>
      <c r="H11" s="24" t="n">
        <v>0</v>
      </c>
      <c r="I11" s="24" t="n">
        <f aca="false">G11+H11</f>
        <v>57862.97</v>
      </c>
      <c r="J11" s="24" t="n">
        <f aca="false">D11-I11</f>
        <v>0</v>
      </c>
      <c r="K11" s="25" t="s">
        <v>66</v>
      </c>
      <c r="L11" s="25" t="s">
        <v>67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18</v>
      </c>
      <c r="D12" s="24" t="n">
        <v>108493.26</v>
      </c>
      <c r="E12" s="24" t="n">
        <v>0</v>
      </c>
      <c r="F12" s="24" t="n">
        <v>108493.26</v>
      </c>
      <c r="G12" s="24" t="n">
        <v>108493.26</v>
      </c>
      <c r="H12" s="24" t="n">
        <v>0</v>
      </c>
      <c r="I12" s="24" t="n">
        <f aca="false">G12+H12</f>
        <v>108493.26</v>
      </c>
      <c r="J12" s="24" t="n">
        <f aca="false">D12-I12</f>
        <v>0</v>
      </c>
      <c r="K12" s="25" t="s">
        <v>68</v>
      </c>
      <c r="L12" s="25" t="s">
        <v>69</v>
      </c>
    </row>
    <row r="13" customFormat="false" ht="15" hidden="false" customHeight="false" outlineLevel="0" collapsed="false">
      <c r="A13" s="26"/>
      <c r="B13" s="27" t="s">
        <v>22</v>
      </c>
      <c r="C13" s="26"/>
      <c r="D13" s="28" t="n">
        <f aca="false">SUM(D10:D12)</f>
        <v>697363.3</v>
      </c>
      <c r="E13" s="28" t="n">
        <f aca="false">SUM(E10:E12)</f>
        <v>0</v>
      </c>
      <c r="F13" s="28" t="n">
        <f aca="false">SUM(F10:F12)</f>
        <v>166356.23</v>
      </c>
      <c r="G13" s="28" t="n">
        <f aca="false">SUM(G10:G12)</f>
        <v>210606.86</v>
      </c>
      <c r="H13" s="28" t="n">
        <f aca="false">SUM(H10:H12)</f>
        <v>19309.42</v>
      </c>
      <c r="I13" s="28" t="n">
        <f aca="false">SUM(I10:I12)</f>
        <v>229916.28</v>
      </c>
      <c r="J13" s="28" t="n">
        <f aca="false">SUM(J10:J12)</f>
        <v>467447.02</v>
      </c>
      <c r="K13" s="26"/>
      <c r="L13" s="26"/>
    </row>
    <row r="15" customFormat="false" ht="15" hidden="false" customHeight="false" outlineLevel="0" collapsed="false">
      <c r="A15" s="21" t="s">
        <v>70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52</v>
      </c>
      <c r="B16" s="4" t="s">
        <v>53</v>
      </c>
      <c r="C16" s="4" t="s">
        <v>54</v>
      </c>
      <c r="D16" s="4" t="s">
        <v>55</v>
      </c>
      <c r="E16" s="4" t="s">
        <v>56</v>
      </c>
      <c r="F16" s="4" t="s">
        <v>57</v>
      </c>
      <c r="G16" s="4" t="s">
        <v>58</v>
      </c>
      <c r="H16" s="4" t="s">
        <v>59</v>
      </c>
      <c r="I16" s="4" t="s">
        <v>60</v>
      </c>
      <c r="J16" s="4" t="s">
        <v>61</v>
      </c>
      <c r="K16" s="4" t="s">
        <v>62</v>
      </c>
      <c r="L16" s="4" t="s">
        <v>63</v>
      </c>
    </row>
    <row r="17" customFormat="false" ht="15" hidden="false" customHeight="false" outlineLevel="0" collapsed="false">
      <c r="A17" s="23" t="n">
        <v>1</v>
      </c>
      <c r="B17" s="23" t="s">
        <v>24</v>
      </c>
      <c r="C17" s="23" t="s">
        <v>18</v>
      </c>
      <c r="D17" s="24" t="n">
        <v>1284.15</v>
      </c>
      <c r="E17" s="24" t="n">
        <v>0</v>
      </c>
      <c r="F17" s="24" t="n">
        <v>1284.15</v>
      </c>
      <c r="G17" s="24" t="n">
        <v>1284.15</v>
      </c>
      <c r="H17" s="24" t="n">
        <v>0</v>
      </c>
      <c r="I17" s="24" t="n">
        <f aca="false">G17+H17</f>
        <v>1284.15</v>
      </c>
      <c r="J17" s="24" t="n">
        <f aca="false">D17-I17</f>
        <v>0</v>
      </c>
      <c r="K17" s="25" t="s">
        <v>68</v>
      </c>
      <c r="L17" s="25" t="s">
        <v>71</v>
      </c>
    </row>
    <row r="18" customFormat="false" ht="15" hidden="false" customHeight="false" outlineLevel="0" collapsed="false">
      <c r="A18" s="23" t="n">
        <v>2</v>
      </c>
      <c r="B18" s="23" t="s">
        <v>25</v>
      </c>
      <c r="C18" s="23" t="s">
        <v>18</v>
      </c>
      <c r="D18" s="24" t="n">
        <v>290971.55</v>
      </c>
      <c r="E18" s="24" t="n">
        <v>0</v>
      </c>
      <c r="F18" s="24" t="n">
        <v>290971.55</v>
      </c>
      <c r="G18" s="24" t="n">
        <v>290971.55</v>
      </c>
      <c r="H18" s="24" t="n">
        <v>0</v>
      </c>
      <c r="I18" s="24" t="n">
        <f aca="false">G18+H18</f>
        <v>290971.55</v>
      </c>
      <c r="J18" s="24" t="n">
        <f aca="false">D18-I18</f>
        <v>0</v>
      </c>
      <c r="K18" s="25" t="s">
        <v>66</v>
      </c>
      <c r="L18" s="25" t="s">
        <v>67</v>
      </c>
    </row>
    <row r="19" customFormat="false" ht="15" hidden="false" customHeight="false" outlineLevel="0" collapsed="false">
      <c r="A19" s="23" t="n">
        <v>3</v>
      </c>
      <c r="B19" s="23" t="s">
        <v>26</v>
      </c>
      <c r="C19" s="23" t="s">
        <v>18</v>
      </c>
      <c r="D19" s="24" t="n">
        <v>238751.37</v>
      </c>
      <c r="E19" s="24" t="n">
        <v>0</v>
      </c>
      <c r="F19" s="24" t="n">
        <v>0</v>
      </c>
      <c r="G19" s="24" t="n">
        <v>19895.95</v>
      </c>
      <c r="H19" s="24" t="n">
        <v>8681.87</v>
      </c>
      <c r="I19" s="24" t="n">
        <f aca="false">G19+H19</f>
        <v>28577.82</v>
      </c>
      <c r="J19" s="24" t="n">
        <f aca="false">D19-I19</f>
        <v>210173.55</v>
      </c>
      <c r="K19" s="25" t="s">
        <v>64</v>
      </c>
      <c r="L19" s="25" t="s">
        <v>65</v>
      </c>
    </row>
    <row r="20" customFormat="false" ht="15" hidden="false" customHeight="false" outlineLevel="0" collapsed="false">
      <c r="A20" s="23" t="n">
        <v>4</v>
      </c>
      <c r="B20" s="23" t="s">
        <v>27</v>
      </c>
      <c r="C20" s="23" t="s">
        <v>18</v>
      </c>
      <c r="D20" s="24" t="n">
        <v>139.93</v>
      </c>
      <c r="E20" s="24" t="n">
        <v>0</v>
      </c>
      <c r="F20" s="24" t="n">
        <v>139.93</v>
      </c>
      <c r="G20" s="24" t="n">
        <v>139.93</v>
      </c>
      <c r="H20" s="24" t="n">
        <v>0</v>
      </c>
      <c r="I20" s="24" t="n">
        <f aca="false">G20+H20</f>
        <v>139.93</v>
      </c>
      <c r="J20" s="24" t="n">
        <f aca="false">D20-I20</f>
        <v>0</v>
      </c>
      <c r="K20" s="25" t="s">
        <v>68</v>
      </c>
      <c r="L20" s="25" t="s">
        <v>71</v>
      </c>
    </row>
    <row r="21" customFormat="false" ht="15" hidden="false" customHeight="false" outlineLevel="0" collapsed="false">
      <c r="A21" s="23" t="n">
        <v>5</v>
      </c>
      <c r="B21" s="23" t="s">
        <v>28</v>
      </c>
      <c r="C21" s="23" t="s">
        <v>18</v>
      </c>
      <c r="D21" s="24" t="n">
        <v>31706.69</v>
      </c>
      <c r="E21" s="24" t="n">
        <v>0</v>
      </c>
      <c r="F21" s="24" t="n">
        <v>31706.69</v>
      </c>
      <c r="G21" s="24" t="n">
        <v>31706.69</v>
      </c>
      <c r="H21" s="24" t="n">
        <v>0</v>
      </c>
      <c r="I21" s="24" t="n">
        <f aca="false">G21+H21</f>
        <v>31706.69</v>
      </c>
      <c r="J21" s="24" t="n">
        <f aca="false">D21-I21</f>
        <v>0</v>
      </c>
      <c r="K21" s="25" t="s">
        <v>66</v>
      </c>
      <c r="L21" s="25" t="s">
        <v>67</v>
      </c>
    </row>
    <row r="22" customFormat="false" ht="15" hidden="false" customHeight="false" outlineLevel="0" collapsed="false">
      <c r="A22" s="23" t="n">
        <v>6</v>
      </c>
      <c r="B22" s="23" t="s">
        <v>29</v>
      </c>
      <c r="C22" s="23" t="s">
        <v>18</v>
      </c>
      <c r="D22" s="24" t="n">
        <v>26016.35</v>
      </c>
      <c r="E22" s="24" t="n">
        <v>0</v>
      </c>
      <c r="F22" s="24" t="n">
        <v>0</v>
      </c>
      <c r="G22" s="24" t="n">
        <v>2168.03</v>
      </c>
      <c r="H22" s="24" t="n">
        <v>946.05</v>
      </c>
      <c r="I22" s="24" t="n">
        <f aca="false">G22+H22</f>
        <v>3114.08</v>
      </c>
      <c r="J22" s="24" t="n">
        <f aca="false">D22-I22</f>
        <v>22902.27</v>
      </c>
      <c r="K22" s="25" t="s">
        <v>64</v>
      </c>
      <c r="L22" s="25" t="s">
        <v>65</v>
      </c>
    </row>
    <row r="23" customFormat="false" ht="15" hidden="false" customHeight="false" outlineLevel="0" collapsed="false">
      <c r="A23" s="23" t="n">
        <v>7</v>
      </c>
      <c r="B23" s="23" t="s">
        <v>30</v>
      </c>
      <c r="C23" s="23" t="s">
        <v>18</v>
      </c>
      <c r="D23" s="24" t="n">
        <v>262.37</v>
      </c>
      <c r="E23" s="24" t="n">
        <v>0</v>
      </c>
      <c r="F23" s="24" t="n">
        <v>262.37</v>
      </c>
      <c r="G23" s="24" t="n">
        <v>262.37</v>
      </c>
      <c r="H23" s="24" t="n">
        <v>0</v>
      </c>
      <c r="I23" s="24" t="n">
        <f aca="false">G23+H23</f>
        <v>262.37</v>
      </c>
      <c r="J23" s="24" t="n">
        <f aca="false">D23-I23</f>
        <v>0</v>
      </c>
      <c r="K23" s="25" t="s">
        <v>68</v>
      </c>
      <c r="L23" s="25" t="s">
        <v>71</v>
      </c>
    </row>
    <row r="24" customFormat="false" ht="15" hidden="false" customHeight="false" outlineLevel="0" collapsed="false">
      <c r="A24" s="23" t="n">
        <v>8</v>
      </c>
      <c r="B24" s="23" t="s">
        <v>31</v>
      </c>
      <c r="C24" s="23" t="s">
        <v>18</v>
      </c>
      <c r="D24" s="24" t="n">
        <v>59450.16</v>
      </c>
      <c r="E24" s="24" t="n">
        <v>0</v>
      </c>
      <c r="F24" s="24" t="n">
        <v>59450.16</v>
      </c>
      <c r="G24" s="24" t="n">
        <v>59450.16</v>
      </c>
      <c r="H24" s="24" t="n">
        <v>0</v>
      </c>
      <c r="I24" s="24" t="n">
        <f aca="false">G24+H24</f>
        <v>59450.16</v>
      </c>
      <c r="J24" s="24" t="n">
        <f aca="false">D24-I24</f>
        <v>0</v>
      </c>
      <c r="K24" s="25" t="s">
        <v>66</v>
      </c>
      <c r="L24" s="25" t="s">
        <v>67</v>
      </c>
    </row>
    <row r="25" customFormat="false" ht="15" hidden="false" customHeight="false" outlineLevel="0" collapsed="false">
      <c r="A25" s="23" t="n">
        <v>9</v>
      </c>
      <c r="B25" s="23" t="s">
        <v>32</v>
      </c>
      <c r="C25" s="23" t="s">
        <v>18</v>
      </c>
      <c r="D25" s="24" t="n">
        <v>48780.73</v>
      </c>
      <c r="E25" s="24" t="n">
        <v>0</v>
      </c>
      <c r="F25" s="24" t="n">
        <v>0</v>
      </c>
      <c r="G25" s="24" t="n">
        <v>4065.05</v>
      </c>
      <c r="H25" s="24" t="n">
        <v>1773.84</v>
      </c>
      <c r="I25" s="24" t="n">
        <f aca="false">G25+H25</f>
        <v>5838.89</v>
      </c>
      <c r="J25" s="24" t="n">
        <f aca="false">D25-I25</f>
        <v>42941.84</v>
      </c>
      <c r="K25" s="25" t="s">
        <v>64</v>
      </c>
      <c r="L25" s="25" t="s">
        <v>65</v>
      </c>
    </row>
    <row r="26" customFormat="false" ht="15" hidden="false" customHeight="false" outlineLevel="0" collapsed="false">
      <c r="A26" s="26"/>
      <c r="B26" s="27" t="s">
        <v>22</v>
      </c>
      <c r="C26" s="26"/>
      <c r="D26" s="28" t="n">
        <f aca="false">SUM(D17:D25)</f>
        <v>697363.3</v>
      </c>
      <c r="E26" s="28" t="n">
        <f aca="false">SUM(E17:E25)</f>
        <v>0</v>
      </c>
      <c r="F26" s="28" t="n">
        <f aca="false">SUM(F17:F25)</f>
        <v>383814.85</v>
      </c>
      <c r="G26" s="28" t="n">
        <f aca="false">SUM(G17:G25)</f>
        <v>409943.88</v>
      </c>
      <c r="H26" s="28" t="n">
        <f aca="false">SUM(H17:H25)</f>
        <v>11401.76</v>
      </c>
      <c r="I26" s="28" t="n">
        <f aca="false">SUM(I17:I25)</f>
        <v>421345.64</v>
      </c>
      <c r="J26" s="28" t="n">
        <f aca="false">SUM(J17:J25)</f>
        <v>276017.66</v>
      </c>
      <c r="K26" s="26"/>
      <c r="L26" s="26"/>
    </row>
    <row r="28" customFormat="false" ht="15" hidden="false" customHeight="false" outlineLevel="0" collapsed="false">
      <c r="B28" s="18" t="s">
        <v>72</v>
      </c>
    </row>
    <row r="29" customFormat="false" ht="15" hidden="false" customHeight="false" outlineLevel="0" collapsed="false">
      <c r="B29" s="5" t="s">
        <v>73</v>
      </c>
      <c r="D29" s="6" t="n">
        <f aca="false">I13</f>
        <v>229916.28</v>
      </c>
    </row>
    <row r="30" customFormat="false" ht="15" hidden="false" customHeight="false" outlineLevel="0" collapsed="false">
      <c r="B30" s="5" t="s">
        <v>74</v>
      </c>
      <c r="D30" s="6" t="n">
        <f aca="false">I26</f>
        <v>421345.64</v>
      </c>
    </row>
    <row r="31" customFormat="false" ht="15" hidden="false" customHeight="false" outlineLevel="0" collapsed="false">
      <c r="B31" s="11" t="s">
        <v>72</v>
      </c>
      <c r="D31" s="29" t="n">
        <f aca="false">D29-D30</f>
        <v>-191429.36</v>
      </c>
    </row>
    <row r="33" customFormat="false" ht="15" hidden="false" customHeight="false" outlineLevel="0" collapsed="false">
      <c r="A33" s="10" t="s">
        <v>75</v>
      </c>
    </row>
    <row r="34" customFormat="false" ht="15" hidden="false" customHeight="false" outlineLevel="0" collapsed="false">
      <c r="A34" s="21" t="s">
        <v>76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52</v>
      </c>
      <c r="B35" s="4" t="s">
        <v>53</v>
      </c>
      <c r="C35" s="4" t="s">
        <v>54</v>
      </c>
      <c r="D35" s="4" t="s">
        <v>55</v>
      </c>
      <c r="E35" s="4" t="s">
        <v>56</v>
      </c>
      <c r="F35" s="4" t="s">
        <v>57</v>
      </c>
      <c r="G35" s="4" t="s">
        <v>77</v>
      </c>
      <c r="H35" s="4" t="s">
        <v>78</v>
      </c>
      <c r="I35" s="4" t="s">
        <v>60</v>
      </c>
      <c r="J35" s="4" t="s">
        <v>61</v>
      </c>
      <c r="K35" s="4" t="s">
        <v>62</v>
      </c>
      <c r="L35" s="4" t="s">
        <v>63</v>
      </c>
    </row>
    <row r="36" customFormat="false" ht="15" hidden="false" customHeight="false" outlineLevel="0" collapsed="false">
      <c r="A36" s="23" t="n">
        <v>1</v>
      </c>
      <c r="B36" s="23" t="s">
        <v>19</v>
      </c>
      <c r="C36" s="23" t="s">
        <v>18</v>
      </c>
      <c r="D36" s="24" t="n">
        <v>531007.07</v>
      </c>
      <c r="E36" s="24" t="n">
        <v>0</v>
      </c>
      <c r="F36" s="24" t="n">
        <v>0</v>
      </c>
      <c r="G36" s="24" t="n">
        <v>44250.63</v>
      </c>
      <c r="H36" s="24" t="n">
        <v>19309.42</v>
      </c>
      <c r="I36" s="24" t="n">
        <f aca="false">G36+H36</f>
        <v>63560.05</v>
      </c>
      <c r="J36" s="24" t="n">
        <f aca="false">D36-I36</f>
        <v>467447.02</v>
      </c>
      <c r="K36" s="25" t="s">
        <v>64</v>
      </c>
      <c r="L36" s="25" t="s">
        <v>65</v>
      </c>
    </row>
    <row r="37" customFormat="false" ht="15" hidden="false" customHeight="false" outlineLevel="0" collapsed="false">
      <c r="A37" s="23" t="n">
        <v>2</v>
      </c>
      <c r="B37" s="23" t="s">
        <v>20</v>
      </c>
      <c r="C37" s="23" t="s">
        <v>18</v>
      </c>
      <c r="D37" s="24" t="n">
        <v>57862.97</v>
      </c>
      <c r="E37" s="24" t="n">
        <v>0</v>
      </c>
      <c r="F37" s="24" t="n">
        <v>57862.97</v>
      </c>
      <c r="G37" s="24" t="n">
        <v>57862.97</v>
      </c>
      <c r="H37" s="24" t="n">
        <v>0</v>
      </c>
      <c r="I37" s="24" t="n">
        <f aca="false">G37+H37</f>
        <v>57862.97</v>
      </c>
      <c r="J37" s="24" t="n">
        <f aca="false">D37-I37</f>
        <v>0</v>
      </c>
      <c r="K37" s="25" t="s">
        <v>66</v>
      </c>
      <c r="L37" s="25" t="s">
        <v>67</v>
      </c>
    </row>
    <row r="38" customFormat="false" ht="15" hidden="false" customHeight="false" outlineLevel="0" collapsed="false">
      <c r="A38" s="23" t="n">
        <v>3</v>
      </c>
      <c r="B38" s="23" t="s">
        <v>21</v>
      </c>
      <c r="C38" s="23" t="s">
        <v>18</v>
      </c>
      <c r="D38" s="24" t="n">
        <v>108493.26</v>
      </c>
      <c r="E38" s="24" t="n">
        <v>0</v>
      </c>
      <c r="F38" s="24" t="n">
        <v>108493.26</v>
      </c>
      <c r="G38" s="24" t="n">
        <v>108493.26</v>
      </c>
      <c r="H38" s="24" t="n">
        <v>0</v>
      </c>
      <c r="I38" s="24" t="n">
        <f aca="false">G38+H38</f>
        <v>108493.26</v>
      </c>
      <c r="J38" s="24" t="n">
        <f aca="false">D38-I38</f>
        <v>0</v>
      </c>
      <c r="K38" s="25" t="s">
        <v>68</v>
      </c>
      <c r="L38" s="25" t="s">
        <v>69</v>
      </c>
    </row>
    <row r="39" customFormat="false" ht="15" hidden="false" customHeight="false" outlineLevel="0" collapsed="false">
      <c r="A39" s="26"/>
      <c r="B39" s="27" t="s">
        <v>22</v>
      </c>
      <c r="C39" s="26"/>
      <c r="D39" s="28" t="n">
        <f aca="false">SUM(D36:D38)</f>
        <v>697363.3</v>
      </c>
      <c r="E39" s="28" t="n">
        <f aca="false">SUM(E36:E38)</f>
        <v>0</v>
      </c>
      <c r="F39" s="28" t="n">
        <f aca="false">SUM(F36:F38)</f>
        <v>166356.23</v>
      </c>
      <c r="G39" s="28" t="n">
        <f aca="false">SUM(G36:G38)</f>
        <v>210606.86</v>
      </c>
      <c r="H39" s="28" t="n">
        <f aca="false">SUM(H36:H38)</f>
        <v>19309.42</v>
      </c>
      <c r="I39" s="28" t="n">
        <f aca="false">SUM(I36:I38)</f>
        <v>229916.28</v>
      </c>
      <c r="J39" s="28" t="n">
        <f aca="false">SUM(J36:J38)</f>
        <v>467447.02</v>
      </c>
      <c r="K39" s="26"/>
      <c r="L39" s="26"/>
    </row>
    <row r="41" customFormat="false" ht="15" hidden="false" customHeight="false" outlineLevel="0" collapsed="false">
      <c r="A41" s="21" t="s">
        <v>79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customFormat="false" ht="22.35" hidden="false" customHeight="false" outlineLevel="0" collapsed="false">
      <c r="A42" s="4" t="s">
        <v>52</v>
      </c>
      <c r="B42" s="4" t="s">
        <v>53</v>
      </c>
      <c r="C42" s="4" t="s">
        <v>54</v>
      </c>
      <c r="D42" s="4" t="s">
        <v>55</v>
      </c>
      <c r="E42" s="4" t="s">
        <v>56</v>
      </c>
      <c r="F42" s="4" t="s">
        <v>57</v>
      </c>
      <c r="G42" s="4" t="s">
        <v>77</v>
      </c>
      <c r="H42" s="4" t="s">
        <v>78</v>
      </c>
      <c r="I42" s="4" t="s">
        <v>60</v>
      </c>
      <c r="J42" s="4" t="s">
        <v>61</v>
      </c>
      <c r="K42" s="4" t="s">
        <v>62</v>
      </c>
      <c r="L42" s="4" t="s">
        <v>63</v>
      </c>
    </row>
    <row r="43" customFormat="false" ht="15" hidden="false" customHeight="false" outlineLevel="0" collapsed="false">
      <c r="A43" s="23" t="n">
        <v>1</v>
      </c>
      <c r="B43" s="23" t="s">
        <v>24</v>
      </c>
      <c r="C43" s="23" t="s">
        <v>18</v>
      </c>
      <c r="D43" s="24" t="n">
        <v>1284.15</v>
      </c>
      <c r="E43" s="24" t="n">
        <v>0</v>
      </c>
      <c r="F43" s="24" t="n">
        <v>1284.15</v>
      </c>
      <c r="G43" s="24" t="n">
        <v>1284.15</v>
      </c>
      <c r="H43" s="24" t="n">
        <v>0</v>
      </c>
      <c r="I43" s="24" t="n">
        <f aca="false">G43+H43</f>
        <v>1284.15</v>
      </c>
      <c r="J43" s="24" t="n">
        <f aca="false">D43-I43</f>
        <v>0</v>
      </c>
      <c r="K43" s="25" t="s">
        <v>68</v>
      </c>
      <c r="L43" s="25" t="s">
        <v>71</v>
      </c>
    </row>
    <row r="44" customFormat="false" ht="15" hidden="false" customHeight="false" outlineLevel="0" collapsed="false">
      <c r="A44" s="23" t="n">
        <v>2</v>
      </c>
      <c r="B44" s="23" t="s">
        <v>25</v>
      </c>
      <c r="C44" s="23" t="s">
        <v>18</v>
      </c>
      <c r="D44" s="24" t="n">
        <v>290971.55</v>
      </c>
      <c r="E44" s="24" t="n">
        <v>0</v>
      </c>
      <c r="F44" s="24" t="n">
        <v>290971.55</v>
      </c>
      <c r="G44" s="24" t="n">
        <v>290971.55</v>
      </c>
      <c r="H44" s="24" t="n">
        <v>0</v>
      </c>
      <c r="I44" s="24" t="n">
        <f aca="false">G44+H44</f>
        <v>290971.55</v>
      </c>
      <c r="J44" s="24" t="n">
        <f aca="false">D44-I44</f>
        <v>0</v>
      </c>
      <c r="K44" s="25" t="s">
        <v>66</v>
      </c>
      <c r="L44" s="25" t="s">
        <v>67</v>
      </c>
    </row>
    <row r="45" customFormat="false" ht="15" hidden="false" customHeight="false" outlineLevel="0" collapsed="false">
      <c r="A45" s="23" t="n">
        <v>3</v>
      </c>
      <c r="B45" s="23" t="s">
        <v>26</v>
      </c>
      <c r="C45" s="23" t="s">
        <v>18</v>
      </c>
      <c r="D45" s="24" t="n">
        <v>238751.37</v>
      </c>
      <c r="E45" s="24" t="n">
        <v>0</v>
      </c>
      <c r="F45" s="24" t="n">
        <v>0</v>
      </c>
      <c r="G45" s="24" t="n">
        <v>19895.95</v>
      </c>
      <c r="H45" s="24" t="n">
        <v>8681.87</v>
      </c>
      <c r="I45" s="24" t="n">
        <f aca="false">G45+H45</f>
        <v>28577.82</v>
      </c>
      <c r="J45" s="24" t="n">
        <f aca="false">D45-I45</f>
        <v>210173.55</v>
      </c>
      <c r="K45" s="25" t="s">
        <v>64</v>
      </c>
      <c r="L45" s="25" t="s">
        <v>65</v>
      </c>
    </row>
    <row r="46" customFormat="false" ht="15" hidden="false" customHeight="false" outlineLevel="0" collapsed="false">
      <c r="A46" s="23" t="n">
        <v>4</v>
      </c>
      <c r="B46" s="23" t="s">
        <v>27</v>
      </c>
      <c r="C46" s="23" t="s">
        <v>18</v>
      </c>
      <c r="D46" s="24" t="n">
        <v>139.93</v>
      </c>
      <c r="E46" s="24" t="n">
        <v>0</v>
      </c>
      <c r="F46" s="24" t="n">
        <v>139.93</v>
      </c>
      <c r="G46" s="24" t="n">
        <v>139.93</v>
      </c>
      <c r="H46" s="24" t="n">
        <v>0</v>
      </c>
      <c r="I46" s="24" t="n">
        <f aca="false">G46+H46</f>
        <v>139.93</v>
      </c>
      <c r="J46" s="24" t="n">
        <f aca="false">D46-I46</f>
        <v>0</v>
      </c>
      <c r="K46" s="25" t="s">
        <v>68</v>
      </c>
      <c r="L46" s="25" t="s">
        <v>71</v>
      </c>
    </row>
    <row r="47" customFormat="false" ht="15" hidden="false" customHeight="false" outlineLevel="0" collapsed="false">
      <c r="A47" s="23" t="n">
        <v>5</v>
      </c>
      <c r="B47" s="23" t="s">
        <v>28</v>
      </c>
      <c r="C47" s="23" t="s">
        <v>18</v>
      </c>
      <c r="D47" s="24" t="n">
        <v>31706.69</v>
      </c>
      <c r="E47" s="24" t="n">
        <v>0</v>
      </c>
      <c r="F47" s="24" t="n">
        <v>31706.69</v>
      </c>
      <c r="G47" s="24" t="n">
        <v>31706.69</v>
      </c>
      <c r="H47" s="24" t="n">
        <v>0</v>
      </c>
      <c r="I47" s="24" t="n">
        <f aca="false">G47+H47</f>
        <v>31706.69</v>
      </c>
      <c r="J47" s="24" t="n">
        <f aca="false">D47-I47</f>
        <v>0</v>
      </c>
      <c r="K47" s="25" t="s">
        <v>66</v>
      </c>
      <c r="L47" s="25" t="s">
        <v>67</v>
      </c>
    </row>
    <row r="48" customFormat="false" ht="15" hidden="false" customHeight="false" outlineLevel="0" collapsed="false">
      <c r="A48" s="23" t="n">
        <v>6</v>
      </c>
      <c r="B48" s="23" t="s">
        <v>29</v>
      </c>
      <c r="C48" s="23" t="s">
        <v>18</v>
      </c>
      <c r="D48" s="24" t="n">
        <v>26016.35</v>
      </c>
      <c r="E48" s="24" t="n">
        <v>0</v>
      </c>
      <c r="F48" s="24" t="n">
        <v>0</v>
      </c>
      <c r="G48" s="24" t="n">
        <v>2168.03</v>
      </c>
      <c r="H48" s="24" t="n">
        <v>946.05</v>
      </c>
      <c r="I48" s="24" t="n">
        <f aca="false">G48+H48</f>
        <v>3114.08</v>
      </c>
      <c r="J48" s="24" t="n">
        <f aca="false">D48-I48</f>
        <v>22902.27</v>
      </c>
      <c r="K48" s="25" t="s">
        <v>64</v>
      </c>
      <c r="L48" s="25" t="s">
        <v>65</v>
      </c>
    </row>
    <row r="49" customFormat="false" ht="15" hidden="false" customHeight="false" outlineLevel="0" collapsed="false">
      <c r="A49" s="23" t="n">
        <v>7</v>
      </c>
      <c r="B49" s="23" t="s">
        <v>30</v>
      </c>
      <c r="C49" s="23" t="s">
        <v>18</v>
      </c>
      <c r="D49" s="24" t="n">
        <v>262.37</v>
      </c>
      <c r="E49" s="24" t="n">
        <v>0</v>
      </c>
      <c r="F49" s="24" t="n">
        <v>262.37</v>
      </c>
      <c r="G49" s="24" t="n">
        <v>262.37</v>
      </c>
      <c r="H49" s="24" t="n">
        <v>0</v>
      </c>
      <c r="I49" s="24" t="n">
        <f aca="false">G49+H49</f>
        <v>262.37</v>
      </c>
      <c r="J49" s="24" t="n">
        <f aca="false">D49-I49</f>
        <v>0</v>
      </c>
      <c r="K49" s="25" t="s">
        <v>68</v>
      </c>
      <c r="L49" s="25" t="s">
        <v>71</v>
      </c>
    </row>
    <row r="50" customFormat="false" ht="15" hidden="false" customHeight="false" outlineLevel="0" collapsed="false">
      <c r="A50" s="23" t="n">
        <v>8</v>
      </c>
      <c r="B50" s="23" t="s">
        <v>31</v>
      </c>
      <c r="C50" s="23" t="s">
        <v>18</v>
      </c>
      <c r="D50" s="24" t="n">
        <v>59450.16</v>
      </c>
      <c r="E50" s="24" t="n">
        <v>0</v>
      </c>
      <c r="F50" s="24" t="n">
        <v>59450.16</v>
      </c>
      <c r="G50" s="24" t="n">
        <v>59450.16</v>
      </c>
      <c r="H50" s="24" t="n">
        <v>0</v>
      </c>
      <c r="I50" s="24" t="n">
        <f aca="false">G50+H50</f>
        <v>59450.16</v>
      </c>
      <c r="J50" s="24" t="n">
        <f aca="false">D50-I50</f>
        <v>0</v>
      </c>
      <c r="K50" s="25" t="s">
        <v>66</v>
      </c>
      <c r="L50" s="25" t="s">
        <v>67</v>
      </c>
    </row>
    <row r="51" customFormat="false" ht="15" hidden="false" customHeight="false" outlineLevel="0" collapsed="false">
      <c r="A51" s="23" t="n">
        <v>9</v>
      </c>
      <c r="B51" s="23" t="s">
        <v>32</v>
      </c>
      <c r="C51" s="23" t="s">
        <v>18</v>
      </c>
      <c r="D51" s="24" t="n">
        <v>48780.73</v>
      </c>
      <c r="E51" s="24" t="n">
        <v>0</v>
      </c>
      <c r="F51" s="24" t="n">
        <v>0</v>
      </c>
      <c r="G51" s="24" t="n">
        <v>4065.05</v>
      </c>
      <c r="H51" s="24" t="n">
        <v>1773.84</v>
      </c>
      <c r="I51" s="24" t="n">
        <f aca="false">G51+H51</f>
        <v>5838.89</v>
      </c>
      <c r="J51" s="24" t="n">
        <f aca="false">D51-I51</f>
        <v>42941.84</v>
      </c>
      <c r="K51" s="25" t="s">
        <v>64</v>
      </c>
      <c r="L51" s="25" t="s">
        <v>65</v>
      </c>
    </row>
    <row r="52" customFormat="false" ht="15" hidden="false" customHeight="false" outlineLevel="0" collapsed="false">
      <c r="A52" s="26"/>
      <c r="B52" s="27" t="s">
        <v>22</v>
      </c>
      <c r="C52" s="26"/>
      <c r="D52" s="28" t="n">
        <f aca="false">SUM(D43:D51)</f>
        <v>697363.3</v>
      </c>
      <c r="E52" s="28" t="n">
        <f aca="false">SUM(E43:E51)</f>
        <v>0</v>
      </c>
      <c r="F52" s="28" t="n">
        <f aca="false">SUM(F43:F51)</f>
        <v>383814.85</v>
      </c>
      <c r="G52" s="28" t="n">
        <f aca="false">SUM(G43:G51)</f>
        <v>409943.88</v>
      </c>
      <c r="H52" s="28" t="n">
        <f aca="false">SUM(H43:H51)</f>
        <v>11401.76</v>
      </c>
      <c r="I52" s="28" t="n">
        <f aca="false">SUM(I43:I51)</f>
        <v>421345.64</v>
      </c>
      <c r="J52" s="28" t="n">
        <f aca="false">SUM(J43:J51)</f>
        <v>276017.66</v>
      </c>
      <c r="K52" s="26"/>
      <c r="L52" s="26"/>
    </row>
    <row r="54" customFormat="false" ht="15" hidden="false" customHeight="false" outlineLevel="0" collapsed="false">
      <c r="B54" s="18" t="s">
        <v>80</v>
      </c>
    </row>
    <row r="55" customFormat="false" ht="15" hidden="false" customHeight="false" outlineLevel="0" collapsed="false">
      <c r="B55" s="5" t="s">
        <v>73</v>
      </c>
      <c r="D55" s="6" t="n">
        <f aca="false">I39</f>
        <v>229916.28</v>
      </c>
    </row>
    <row r="56" customFormat="false" ht="15" hidden="false" customHeight="false" outlineLevel="0" collapsed="false">
      <c r="B56" s="5" t="s">
        <v>74</v>
      </c>
      <c r="D56" s="6" t="n">
        <f aca="false">I52</f>
        <v>421345.64</v>
      </c>
    </row>
    <row r="57" customFormat="false" ht="15" hidden="false" customHeight="false" outlineLevel="0" collapsed="false">
      <c r="B57" s="11" t="s">
        <v>80</v>
      </c>
      <c r="D57" s="29" t="n">
        <f aca="false">D55-D56</f>
        <v>-191429.36</v>
      </c>
    </row>
    <row r="59" customFormat="false" ht="15" hidden="false" customHeight="false" outlineLevel="0" collapsed="false">
      <c r="A59" s="10" t="s">
        <v>81</v>
      </c>
    </row>
    <row r="60" customFormat="false" ht="15" hidden="false" customHeight="false" outlineLevel="0" collapsed="false">
      <c r="B60" s="11" t="s">
        <v>82</v>
      </c>
      <c r="D60" s="12" t="n">
        <f aca="false">D89</f>
        <v>697363.3</v>
      </c>
    </row>
    <row r="61" customFormat="false" ht="15" hidden="false" customHeight="false" outlineLevel="0" collapsed="false">
      <c r="B61" s="5" t="s">
        <v>83</v>
      </c>
      <c r="D61" s="6" t="n">
        <f aca="false">F89</f>
        <v>1686.45</v>
      </c>
    </row>
    <row r="62" customFormat="false" ht="15" hidden="false" customHeight="false" outlineLevel="0" collapsed="false">
      <c r="B62" s="30" t="s">
        <v>84</v>
      </c>
      <c r="D62" s="31" t="n">
        <f aca="false">F90</f>
        <v>0.00241832341908443</v>
      </c>
    </row>
    <row r="63" customFormat="false" ht="15" hidden="false" customHeight="false" outlineLevel="0" collapsed="false">
      <c r="B63" s="5" t="s">
        <v>85</v>
      </c>
      <c r="D63" s="6" t="n">
        <f aca="false">H89</f>
        <v>382128.4</v>
      </c>
    </row>
    <row r="64" customFormat="false" ht="15" hidden="false" customHeight="false" outlineLevel="0" collapsed="false">
      <c r="B64" s="30" t="s">
        <v>84</v>
      </c>
      <c r="D64" s="31" t="n">
        <f aca="false">H90</f>
        <v>0.547961729560474</v>
      </c>
    </row>
    <row r="65" customFormat="false" ht="15" hidden="false" customHeight="false" outlineLevel="0" collapsed="false">
      <c r="B65" s="5" t="s">
        <v>86</v>
      </c>
      <c r="D65" s="6" t="n">
        <f aca="false">J89</f>
        <v>313548.45</v>
      </c>
    </row>
    <row r="66" customFormat="false" ht="15" hidden="false" customHeight="false" outlineLevel="0" collapsed="false">
      <c r="B66" s="30" t="s">
        <v>84</v>
      </c>
      <c r="D66" s="31" t="n">
        <f aca="false">J90</f>
        <v>0.449619947020441</v>
      </c>
    </row>
    <row r="68" customFormat="false" ht="15" hidden="false" customHeight="false" outlineLevel="0" collapsed="false">
      <c r="A68" s="10" t="s">
        <v>87</v>
      </c>
    </row>
    <row r="69" customFormat="false" ht="15" hidden="false" customHeight="false" outlineLevel="0" collapsed="false">
      <c r="B69" s="4" t="s">
        <v>88</v>
      </c>
      <c r="D69" s="4" t="s">
        <v>55</v>
      </c>
      <c r="F69" s="4" t="s">
        <v>89</v>
      </c>
      <c r="H69" s="4" t="s">
        <v>90</v>
      </c>
      <c r="J69" s="4" t="s">
        <v>91</v>
      </c>
    </row>
    <row r="70" customFormat="false" ht="15" hidden="false" customHeight="false" outlineLevel="0" collapsed="false">
      <c r="B70" s="32" t="s">
        <v>92</v>
      </c>
    </row>
    <row r="71" customFormat="false" ht="15" hidden="false" customHeight="false" outlineLevel="0" collapsed="false">
      <c r="B71" s="5" t="s">
        <v>93</v>
      </c>
      <c r="D71" s="33" t="n">
        <f aca="false">SUM(F71:J71)</f>
        <v>1686.45</v>
      </c>
      <c r="F71" s="33" t="n">
        <v>1686.45</v>
      </c>
    </row>
    <row r="72" customFormat="false" ht="15" hidden="false" customHeight="false" outlineLevel="0" collapsed="false">
      <c r="B72" s="32" t="s">
        <v>94</v>
      </c>
    </row>
    <row r="73" customFormat="false" ht="15" hidden="false" customHeight="false" outlineLevel="0" collapsed="false">
      <c r="B73" s="5" t="s">
        <v>95</v>
      </c>
      <c r="D73" s="33" t="n">
        <f aca="false">SUM(F73:J73)</f>
        <v>39048.7</v>
      </c>
      <c r="H73" s="33" t="n">
        <v>39048.7</v>
      </c>
    </row>
    <row r="74" customFormat="false" ht="15" hidden="false" customHeight="false" outlineLevel="0" collapsed="false">
      <c r="B74" s="5" t="s">
        <v>96</v>
      </c>
      <c r="D74" s="33" t="n">
        <f aca="false">SUM(F74:J74)</f>
        <v>153576.44</v>
      </c>
      <c r="H74" s="33" t="n">
        <v>153576.44</v>
      </c>
    </row>
    <row r="75" customFormat="false" ht="15" hidden="false" customHeight="false" outlineLevel="0" collapsed="false">
      <c r="B75" s="5" t="s">
        <v>97</v>
      </c>
      <c r="D75" s="33" t="n">
        <f aca="false">SUM(F75:J75)</f>
        <v>4980.7</v>
      </c>
      <c r="H75" s="33" t="n">
        <v>4980.7</v>
      </c>
    </row>
    <row r="76" customFormat="false" ht="15" hidden="false" customHeight="false" outlineLevel="0" collapsed="false">
      <c r="B76" s="5" t="s">
        <v>98</v>
      </c>
      <c r="D76" s="33" t="n">
        <f aca="false">SUM(F76:J76)</f>
        <v>7221.77</v>
      </c>
      <c r="H76" s="33" t="n">
        <v>7221.77</v>
      </c>
    </row>
    <row r="77" customFormat="false" ht="15" hidden="false" customHeight="false" outlineLevel="0" collapsed="false">
      <c r="B77" s="5" t="s">
        <v>99</v>
      </c>
      <c r="D77" s="33" t="n">
        <f aca="false">SUM(F77:J77)</f>
        <v>84027.83</v>
      </c>
      <c r="H77" s="33" t="n">
        <v>84027.83</v>
      </c>
    </row>
    <row r="78" customFormat="false" ht="15" hidden="false" customHeight="false" outlineLevel="0" collapsed="false">
      <c r="B78" s="5" t="s">
        <v>100</v>
      </c>
      <c r="D78" s="33" t="n">
        <f aca="false">SUM(F78:J78)</f>
        <v>9631.81</v>
      </c>
      <c r="H78" s="33" t="n">
        <v>9631.81</v>
      </c>
    </row>
    <row r="79" customFormat="false" ht="15" hidden="false" customHeight="false" outlineLevel="0" collapsed="false">
      <c r="B79" s="5" t="s">
        <v>101</v>
      </c>
      <c r="D79" s="33" t="n">
        <f aca="false">SUM(F79:J79)</f>
        <v>20401.97</v>
      </c>
      <c r="H79" s="33" t="n">
        <v>20401.97</v>
      </c>
    </row>
    <row r="80" customFormat="false" ht="15" hidden="false" customHeight="false" outlineLevel="0" collapsed="false">
      <c r="B80" s="5" t="s">
        <v>102</v>
      </c>
      <c r="D80" s="33" t="n">
        <f aca="false">SUM(F80:J80)</f>
        <v>1644.48</v>
      </c>
      <c r="H80" s="33" t="n">
        <v>1644.48</v>
      </c>
    </row>
    <row r="81" customFormat="false" ht="15" hidden="false" customHeight="false" outlineLevel="0" collapsed="false">
      <c r="B81" s="5" t="s">
        <v>103</v>
      </c>
      <c r="D81" s="33" t="n">
        <f aca="false">SUM(F81:J81)</f>
        <v>11153.66</v>
      </c>
      <c r="H81" s="33" t="n">
        <v>11153.66</v>
      </c>
    </row>
    <row r="82" customFormat="false" ht="15" hidden="false" customHeight="false" outlineLevel="0" collapsed="false">
      <c r="B82" s="5" t="s">
        <v>104</v>
      </c>
      <c r="D82" s="33" t="n">
        <f aca="false">SUM(F82:J82)</f>
        <v>24156.38</v>
      </c>
      <c r="H82" s="33" t="n">
        <v>24156.38</v>
      </c>
    </row>
    <row r="83" customFormat="false" ht="15" hidden="false" customHeight="false" outlineLevel="0" collapsed="false">
      <c r="B83" s="5" t="s">
        <v>105</v>
      </c>
      <c r="D83" s="33" t="n">
        <f aca="false">SUM(F83:J83)</f>
        <v>8313.83</v>
      </c>
      <c r="H83" s="33" t="n">
        <v>8313.83</v>
      </c>
    </row>
    <row r="84" customFormat="false" ht="15" hidden="false" customHeight="false" outlineLevel="0" collapsed="false">
      <c r="B84" s="5" t="s">
        <v>106</v>
      </c>
      <c r="D84" s="33" t="n">
        <f aca="false">SUM(F84:J84)</f>
        <v>424.82</v>
      </c>
      <c r="H84" s="33" t="n">
        <v>424.82</v>
      </c>
    </row>
    <row r="85" customFormat="false" ht="15" hidden="false" customHeight="false" outlineLevel="0" collapsed="false">
      <c r="B85" s="5" t="s">
        <v>107</v>
      </c>
      <c r="D85" s="33" t="n">
        <f aca="false">SUM(F85:J85)</f>
        <v>7388.84</v>
      </c>
      <c r="H85" s="33" t="n">
        <v>7388.84</v>
      </c>
    </row>
    <row r="86" customFormat="false" ht="15" hidden="false" customHeight="false" outlineLevel="0" collapsed="false">
      <c r="B86" s="5" t="s">
        <v>108</v>
      </c>
      <c r="D86" s="33" t="n">
        <f aca="false">SUM(F86:J86)</f>
        <v>10157.17</v>
      </c>
      <c r="H86" s="33" t="n">
        <v>10157.17</v>
      </c>
    </row>
    <row r="87" customFormat="false" ht="15" hidden="false" customHeight="false" outlineLevel="0" collapsed="false">
      <c r="B87" s="32" t="s">
        <v>109</v>
      </c>
    </row>
    <row r="88" customFormat="false" ht="15" hidden="false" customHeight="false" outlineLevel="0" collapsed="false">
      <c r="B88" s="5" t="s">
        <v>109</v>
      </c>
      <c r="D88" s="33" t="n">
        <f aca="false">SUM(F88:J88)</f>
        <v>313548.45</v>
      </c>
      <c r="J88" s="33" t="n">
        <v>313548.45</v>
      </c>
    </row>
    <row r="89" customFormat="false" ht="15" hidden="false" customHeight="false" outlineLevel="0" collapsed="false">
      <c r="B89" s="11" t="s">
        <v>82</v>
      </c>
      <c r="D89" s="34" t="n">
        <f aca="false">SUM(D70:D88)</f>
        <v>697363.3</v>
      </c>
      <c r="F89" s="34" t="n">
        <f aca="false">SUM(F70:F88)</f>
        <v>1686.45</v>
      </c>
      <c r="H89" s="34" t="n">
        <f aca="false">SUM(H70:H88)</f>
        <v>382128.4</v>
      </c>
      <c r="J89" s="34" t="n">
        <f aca="false">SUM(J70:J88)</f>
        <v>313548.45</v>
      </c>
    </row>
    <row r="90" customFormat="false" ht="15" hidden="false" customHeight="false" outlineLevel="0" collapsed="false">
      <c r="B90" s="30" t="s">
        <v>84</v>
      </c>
      <c r="F90" s="31" t="n">
        <f aca="false">F89/D89</f>
        <v>0.00241832341908443</v>
      </c>
      <c r="H90" s="31" t="n">
        <f aca="false">H89/D89</f>
        <v>0.547961729560474</v>
      </c>
      <c r="J90" s="31" t="n">
        <f aca="false">J89/D89</f>
        <v>0.449619947020441</v>
      </c>
    </row>
    <row r="92" customFormat="false" ht="15" hidden="false" customHeight="false" outlineLevel="0" collapsed="false">
      <c r="A92" s="10" t="s">
        <v>110</v>
      </c>
    </row>
    <row r="93" customFormat="false" ht="15" hidden="false" customHeight="false" outlineLevel="0" collapsed="false">
      <c r="B93" s="4" t="s">
        <v>111</v>
      </c>
      <c r="D93" s="4" t="s">
        <v>55</v>
      </c>
      <c r="F93" s="4" t="s">
        <v>89</v>
      </c>
      <c r="H93" s="4" t="s">
        <v>90</v>
      </c>
      <c r="J93" s="4" t="s">
        <v>91</v>
      </c>
    </row>
    <row r="94" customFormat="false" ht="15" hidden="false" customHeight="false" outlineLevel="0" collapsed="false">
      <c r="B94" s="5" t="str">
        <f aca="false">Site!B17</f>
        <v>2-Building-7yr</v>
      </c>
      <c r="D94" s="33" t="n">
        <f aca="false">SUM(F94:J94)</f>
        <v>1284.15</v>
      </c>
      <c r="F94" s="33" t="n">
        <f aca="false">Site!D17</f>
        <v>1284.15</v>
      </c>
    </row>
    <row r="95" customFormat="false" ht="15" hidden="false" customHeight="false" outlineLevel="0" collapsed="false">
      <c r="B95" s="5" t="str">
        <f aca="false">Site!B18</f>
        <v>2-Building-15yr</v>
      </c>
      <c r="D95" s="33" t="n">
        <f aca="false">SUM(F95:J95)</f>
        <v>290971.55</v>
      </c>
      <c r="H95" s="33" t="n">
        <f aca="false">Site!D18</f>
        <v>290971.55</v>
      </c>
    </row>
    <row r="96" customFormat="false" ht="15" hidden="false" customHeight="false" outlineLevel="0" collapsed="false">
      <c r="B96" s="5" t="str">
        <f aca="false">Site!B19</f>
        <v>2-Building-27.5yr</v>
      </c>
      <c r="D96" s="33" t="n">
        <f aca="false">SUM(F96:J96)</f>
        <v>238751.37</v>
      </c>
      <c r="J96" s="33" t="n">
        <f aca="false">Site!D19</f>
        <v>238751.37</v>
      </c>
    </row>
    <row r="97" customFormat="false" ht="15" hidden="false" customHeight="false" outlineLevel="0" collapsed="false">
      <c r="B97" s="5" t="str">
        <f aca="false">Site!B20</f>
        <v>3-Land Improvements-7yr</v>
      </c>
      <c r="D97" s="33" t="n">
        <f aca="false">SUM(F97:J97)</f>
        <v>139.93</v>
      </c>
      <c r="F97" s="33" t="n">
        <f aca="false">Site!D20</f>
        <v>139.93</v>
      </c>
    </row>
    <row r="98" customFormat="false" ht="15" hidden="false" customHeight="false" outlineLevel="0" collapsed="false">
      <c r="B98" s="5" t="str">
        <f aca="false">Site!B21</f>
        <v>3-Land Improvements-15yr</v>
      </c>
      <c r="D98" s="33" t="n">
        <f aca="false">SUM(F98:J98)</f>
        <v>31706.69</v>
      </c>
      <c r="H98" s="33" t="n">
        <f aca="false">Site!D21</f>
        <v>31706.69</v>
      </c>
    </row>
    <row r="99" customFormat="false" ht="15" hidden="false" customHeight="false" outlineLevel="0" collapsed="false">
      <c r="B99" s="5" t="str">
        <f aca="false">Site!B22</f>
        <v>3-Land Improvements-27.5yr</v>
      </c>
      <c r="D99" s="33" t="n">
        <f aca="false">SUM(F99:J99)</f>
        <v>26016.35</v>
      </c>
      <c r="J99" s="33" t="n">
        <f aca="false">Site!D22</f>
        <v>26016.35</v>
      </c>
    </row>
    <row r="100" customFormat="false" ht="15" hidden="false" customHeight="false" outlineLevel="0" collapsed="false">
      <c r="B100" s="5" t="str">
        <f aca="false">Site!B23</f>
        <v>4-Equipment-7yr</v>
      </c>
      <c r="D100" s="33" t="n">
        <f aca="false">SUM(F100:J100)</f>
        <v>262.37</v>
      </c>
      <c r="F100" s="33" t="n">
        <f aca="false">Site!D23</f>
        <v>262.37</v>
      </c>
    </row>
    <row r="101" customFormat="false" ht="15" hidden="false" customHeight="false" outlineLevel="0" collapsed="false">
      <c r="B101" s="5" t="str">
        <f aca="false">Site!B24</f>
        <v>4-Equipment-15yr</v>
      </c>
      <c r="D101" s="33" t="n">
        <f aca="false">SUM(F101:J101)</f>
        <v>59450.16</v>
      </c>
      <c r="H101" s="33" t="n">
        <f aca="false">Site!D24</f>
        <v>59450.16</v>
      </c>
    </row>
    <row r="102" customFormat="false" ht="15" hidden="false" customHeight="false" outlineLevel="0" collapsed="false">
      <c r="B102" s="5" t="str">
        <f aca="false">Site!B25</f>
        <v>4-Equipment-27.5yr</v>
      </c>
      <c r="D102" s="33" t="n">
        <f aca="false">SUM(F102:J102)</f>
        <v>48780.73</v>
      </c>
      <c r="J102" s="33" t="n">
        <f aca="false">Site!D25</f>
        <v>48780.73</v>
      </c>
    </row>
    <row r="103" customFormat="false" ht="15" hidden="false" customHeight="false" outlineLevel="0" collapsed="false">
      <c r="B103" s="11" t="s">
        <v>112</v>
      </c>
      <c r="D103" s="34" t="n">
        <f aca="false">SUM(D94:D102)</f>
        <v>697363.3</v>
      </c>
      <c r="F103" s="34" t="n">
        <f aca="false">SUM(F94:F102)</f>
        <v>1686.45</v>
      </c>
      <c r="H103" s="34" t="n">
        <f aca="false">SUM(H94:H102)</f>
        <v>382128.4</v>
      </c>
      <c r="J103" s="34" t="n">
        <f aca="false">SUM(J94:J102)</f>
        <v>313548.45</v>
      </c>
    </row>
    <row r="104" customFormat="false" ht="15" hidden="false" customHeight="false" outlineLevel="0" collapsed="false">
      <c r="B104" s="16" t="s">
        <v>113</v>
      </c>
      <c r="D104" s="17" t="n">
        <f aca="false">D103-D89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114</v>
      </c>
    </row>
    <row r="5" customFormat="false" ht="15" hidden="false" customHeight="false" outlineLevel="0" collapsed="false">
      <c r="A5" s="16" t="s">
        <v>49</v>
      </c>
    </row>
    <row r="7" customFormat="false" ht="15" hidden="false" customHeight="false" outlineLevel="0" collapsed="false">
      <c r="A7" s="10" t="s">
        <v>50</v>
      </c>
    </row>
    <row r="8" customFormat="false" ht="15" hidden="false" customHeight="false" outlineLevel="0" collapsed="false">
      <c r="A8" s="21" t="s">
        <v>51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18</v>
      </c>
      <c r="D10" s="24" t="n">
        <v>383408.73</v>
      </c>
      <c r="E10" s="24" t="n">
        <v>0</v>
      </c>
      <c r="F10" s="24" t="n">
        <v>0</v>
      </c>
      <c r="G10" s="24" t="n">
        <v>31950.77</v>
      </c>
      <c r="H10" s="24" t="n">
        <v>13942.17</v>
      </c>
      <c r="I10" s="24" t="n">
        <f aca="false">G10+H10</f>
        <v>45892.94</v>
      </c>
      <c r="J10" s="24" t="n">
        <f aca="false">D10-I10</f>
        <v>337515.79</v>
      </c>
      <c r="K10" s="25" t="s">
        <v>64</v>
      </c>
      <c r="L10" s="25" t="s">
        <v>65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18</v>
      </c>
      <c r="D11" s="24" t="n">
        <v>41779.44</v>
      </c>
      <c r="E11" s="24" t="n">
        <v>0</v>
      </c>
      <c r="F11" s="24" t="n">
        <v>41779.44</v>
      </c>
      <c r="G11" s="24" t="n">
        <v>41779.44</v>
      </c>
      <c r="H11" s="24" t="n">
        <v>0</v>
      </c>
      <c r="I11" s="24" t="n">
        <f aca="false">G11+H11</f>
        <v>41779.44</v>
      </c>
      <c r="J11" s="24" t="n">
        <f aca="false">D11-I11</f>
        <v>0</v>
      </c>
      <c r="K11" s="25" t="s">
        <v>66</v>
      </c>
      <c r="L11" s="25" t="s">
        <v>67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18</v>
      </c>
      <c r="D12" s="24" t="n">
        <v>78336.54</v>
      </c>
      <c r="E12" s="24" t="n">
        <v>0</v>
      </c>
      <c r="F12" s="24" t="n">
        <v>78336.54</v>
      </c>
      <c r="G12" s="24" t="n">
        <v>78336.54</v>
      </c>
      <c r="H12" s="24" t="n">
        <v>0</v>
      </c>
      <c r="I12" s="24" t="n">
        <f aca="false">G12+H12</f>
        <v>78336.54</v>
      </c>
      <c r="J12" s="24" t="n">
        <f aca="false">D12-I12</f>
        <v>0</v>
      </c>
      <c r="K12" s="25" t="s">
        <v>68</v>
      </c>
      <c r="L12" s="25" t="s">
        <v>69</v>
      </c>
    </row>
    <row r="13" customFormat="false" ht="15" hidden="false" customHeight="false" outlineLevel="0" collapsed="false">
      <c r="A13" s="26"/>
      <c r="B13" s="27" t="s">
        <v>22</v>
      </c>
      <c r="C13" s="26"/>
      <c r="D13" s="28" t="n">
        <f aca="false">SUM(D10:D12)</f>
        <v>503524.71</v>
      </c>
      <c r="E13" s="28" t="n">
        <f aca="false">SUM(E10:E12)</f>
        <v>0</v>
      </c>
      <c r="F13" s="28" t="n">
        <f aca="false">SUM(F10:F12)</f>
        <v>120115.98</v>
      </c>
      <c r="G13" s="28" t="n">
        <f aca="false">SUM(G10:G12)</f>
        <v>152066.75</v>
      </c>
      <c r="H13" s="28" t="n">
        <f aca="false">SUM(H10:H12)</f>
        <v>13942.17</v>
      </c>
      <c r="I13" s="28" t="n">
        <f aca="false">SUM(I10:I12)</f>
        <v>166008.92</v>
      </c>
      <c r="J13" s="28" t="n">
        <f aca="false">SUM(J10:J12)</f>
        <v>337515.79</v>
      </c>
      <c r="K13" s="26"/>
      <c r="L13" s="26"/>
    </row>
    <row r="15" customFormat="false" ht="15" hidden="false" customHeight="false" outlineLevel="0" collapsed="false">
      <c r="A15" s="21" t="s">
        <v>70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52</v>
      </c>
      <c r="B16" s="4" t="s">
        <v>53</v>
      </c>
      <c r="C16" s="4" t="s">
        <v>54</v>
      </c>
      <c r="D16" s="4" t="s">
        <v>55</v>
      </c>
      <c r="E16" s="4" t="s">
        <v>56</v>
      </c>
      <c r="F16" s="4" t="s">
        <v>57</v>
      </c>
      <c r="G16" s="4" t="s">
        <v>58</v>
      </c>
      <c r="H16" s="4" t="s">
        <v>59</v>
      </c>
      <c r="I16" s="4" t="s">
        <v>60</v>
      </c>
      <c r="J16" s="4" t="s">
        <v>61</v>
      </c>
      <c r="K16" s="4" t="s">
        <v>62</v>
      </c>
      <c r="L16" s="4" t="s">
        <v>63</v>
      </c>
    </row>
    <row r="17" customFormat="false" ht="15" hidden="false" customHeight="false" outlineLevel="0" collapsed="false">
      <c r="A17" s="23" t="n">
        <v>1</v>
      </c>
      <c r="B17" s="23" t="s">
        <v>33</v>
      </c>
      <c r="C17" s="23" t="s">
        <v>18</v>
      </c>
      <c r="D17" s="24" t="n">
        <v>95762.44</v>
      </c>
      <c r="E17" s="24" t="n">
        <v>0</v>
      </c>
      <c r="F17" s="24" t="n">
        <v>95762.44</v>
      </c>
      <c r="G17" s="24" t="n">
        <v>95762.44</v>
      </c>
      <c r="H17" s="24" t="n">
        <v>0</v>
      </c>
      <c r="I17" s="24" t="n">
        <f aca="false">G17+H17</f>
        <v>95762.44</v>
      </c>
      <c r="J17" s="24" t="n">
        <f aca="false">D17-I17</f>
        <v>0</v>
      </c>
      <c r="K17" s="25" t="s">
        <v>68</v>
      </c>
      <c r="L17" s="25" t="s">
        <v>69</v>
      </c>
    </row>
    <row r="18" customFormat="false" ht="15" hidden="false" customHeight="false" outlineLevel="0" collapsed="false">
      <c r="A18" s="23" t="n">
        <v>2</v>
      </c>
      <c r="B18" s="23" t="s">
        <v>26</v>
      </c>
      <c r="C18" s="23" t="s">
        <v>18</v>
      </c>
      <c r="D18" s="24" t="n">
        <v>287646.29</v>
      </c>
      <c r="E18" s="24" t="n">
        <v>0</v>
      </c>
      <c r="F18" s="24" t="n">
        <v>0</v>
      </c>
      <c r="G18" s="24" t="n">
        <v>23970.53</v>
      </c>
      <c r="H18" s="24" t="n">
        <v>10459.87</v>
      </c>
      <c r="I18" s="24" t="n">
        <f aca="false">G18+H18</f>
        <v>34430.4</v>
      </c>
      <c r="J18" s="24" t="n">
        <f aca="false">D18-I18</f>
        <v>253215.89</v>
      </c>
      <c r="K18" s="25" t="s">
        <v>64</v>
      </c>
      <c r="L18" s="25" t="s">
        <v>65</v>
      </c>
    </row>
    <row r="19" customFormat="false" ht="15" hidden="false" customHeight="false" outlineLevel="0" collapsed="false">
      <c r="A19" s="23" t="n">
        <v>3</v>
      </c>
      <c r="B19" s="23" t="s">
        <v>34</v>
      </c>
      <c r="C19" s="23" t="s">
        <v>18</v>
      </c>
      <c r="D19" s="24" t="n">
        <v>10435.08</v>
      </c>
      <c r="E19" s="24" t="n">
        <v>0</v>
      </c>
      <c r="F19" s="24" t="n">
        <v>10435.08</v>
      </c>
      <c r="G19" s="24" t="n">
        <v>10435.08</v>
      </c>
      <c r="H19" s="24" t="n">
        <v>0</v>
      </c>
      <c r="I19" s="24" t="n">
        <f aca="false">G19+H19</f>
        <v>10435.08</v>
      </c>
      <c r="J19" s="24" t="n">
        <f aca="false">D19-I19</f>
        <v>0</v>
      </c>
      <c r="K19" s="25" t="s">
        <v>68</v>
      </c>
      <c r="L19" s="25" t="s">
        <v>69</v>
      </c>
    </row>
    <row r="20" customFormat="false" ht="15" hidden="false" customHeight="false" outlineLevel="0" collapsed="false">
      <c r="A20" s="23" t="n">
        <v>4</v>
      </c>
      <c r="B20" s="23" t="s">
        <v>26</v>
      </c>
      <c r="C20" s="23" t="s">
        <v>18</v>
      </c>
      <c r="D20" s="24" t="n">
        <v>31344.36</v>
      </c>
      <c r="E20" s="24" t="n">
        <v>0</v>
      </c>
      <c r="F20" s="24" t="n">
        <v>0</v>
      </c>
      <c r="G20" s="24" t="n">
        <v>2612.02</v>
      </c>
      <c r="H20" s="24" t="n">
        <v>1139.79</v>
      </c>
      <c r="I20" s="24" t="n">
        <f aca="false">G20+H20</f>
        <v>3751.81</v>
      </c>
      <c r="J20" s="24" t="n">
        <f aca="false">D20-I20</f>
        <v>27592.55</v>
      </c>
      <c r="K20" s="25" t="s">
        <v>64</v>
      </c>
      <c r="L20" s="25" t="s">
        <v>65</v>
      </c>
    </row>
    <row r="21" customFormat="false" ht="15" hidden="false" customHeight="false" outlineLevel="0" collapsed="false">
      <c r="A21" s="23" t="n">
        <v>5</v>
      </c>
      <c r="B21" s="23" t="s">
        <v>35</v>
      </c>
      <c r="C21" s="23" t="s">
        <v>18</v>
      </c>
      <c r="D21" s="24" t="n">
        <v>19565.8</v>
      </c>
      <c r="E21" s="24" t="n">
        <v>0</v>
      </c>
      <c r="F21" s="24" t="n">
        <v>19565.8</v>
      </c>
      <c r="G21" s="24" t="n">
        <v>19565.8</v>
      </c>
      <c r="H21" s="24" t="n">
        <v>0</v>
      </c>
      <c r="I21" s="24" t="n">
        <f aca="false">G21+H21</f>
        <v>19565.8</v>
      </c>
      <c r="J21" s="24" t="n">
        <f aca="false">D21-I21</f>
        <v>0</v>
      </c>
      <c r="K21" s="25" t="s">
        <v>68</v>
      </c>
      <c r="L21" s="25" t="s">
        <v>69</v>
      </c>
    </row>
    <row r="22" customFormat="false" ht="15" hidden="false" customHeight="false" outlineLevel="0" collapsed="false">
      <c r="A22" s="23" t="n">
        <v>6</v>
      </c>
      <c r="B22" s="23" t="s">
        <v>32</v>
      </c>
      <c r="C22" s="23" t="s">
        <v>18</v>
      </c>
      <c r="D22" s="24" t="n">
        <v>58770.74</v>
      </c>
      <c r="E22" s="24" t="n">
        <v>0</v>
      </c>
      <c r="F22" s="24" t="n">
        <v>0</v>
      </c>
      <c r="G22" s="24" t="n">
        <v>4897.57</v>
      </c>
      <c r="H22" s="24" t="n">
        <v>2137.12</v>
      </c>
      <c r="I22" s="24" t="n">
        <f aca="false">G22+H22</f>
        <v>7034.69</v>
      </c>
      <c r="J22" s="24" t="n">
        <f aca="false">D22-I22</f>
        <v>51736.05</v>
      </c>
      <c r="K22" s="25" t="s">
        <v>64</v>
      </c>
      <c r="L22" s="25" t="s">
        <v>65</v>
      </c>
    </row>
    <row r="23" customFormat="false" ht="15" hidden="false" customHeight="false" outlineLevel="0" collapsed="false">
      <c r="A23" s="26"/>
      <c r="B23" s="27" t="s">
        <v>22</v>
      </c>
      <c r="C23" s="26"/>
      <c r="D23" s="28" t="n">
        <f aca="false">SUM(D17:D22)</f>
        <v>503524.71</v>
      </c>
      <c r="E23" s="28" t="n">
        <f aca="false">SUM(E17:E22)</f>
        <v>0</v>
      </c>
      <c r="F23" s="28" t="n">
        <f aca="false">SUM(F17:F22)</f>
        <v>125763.32</v>
      </c>
      <c r="G23" s="28" t="n">
        <f aca="false">SUM(G17:G22)</f>
        <v>157243.44</v>
      </c>
      <c r="H23" s="28" t="n">
        <f aca="false">SUM(H17:H22)</f>
        <v>13736.78</v>
      </c>
      <c r="I23" s="28" t="n">
        <f aca="false">SUM(I17:I22)</f>
        <v>170980.22</v>
      </c>
      <c r="J23" s="28" t="n">
        <f aca="false">SUM(J17:J22)</f>
        <v>332544.49</v>
      </c>
      <c r="K23" s="26"/>
      <c r="L23" s="26"/>
    </row>
    <row r="25" customFormat="false" ht="15" hidden="false" customHeight="false" outlineLevel="0" collapsed="false">
      <c r="B25" s="18" t="s">
        <v>72</v>
      </c>
    </row>
    <row r="26" customFormat="false" ht="15" hidden="false" customHeight="false" outlineLevel="0" collapsed="false">
      <c r="B26" s="5" t="s">
        <v>73</v>
      </c>
      <c r="D26" s="6" t="n">
        <f aca="false">I13</f>
        <v>166008.92</v>
      </c>
    </row>
    <row r="27" customFormat="false" ht="15" hidden="false" customHeight="false" outlineLevel="0" collapsed="false">
      <c r="B27" s="5" t="s">
        <v>74</v>
      </c>
      <c r="D27" s="6" t="n">
        <f aca="false">I23</f>
        <v>170980.22</v>
      </c>
    </row>
    <row r="28" customFormat="false" ht="15" hidden="false" customHeight="false" outlineLevel="0" collapsed="false">
      <c r="B28" s="11" t="s">
        <v>72</v>
      </c>
      <c r="D28" s="29" t="n">
        <f aca="false">D26-D27</f>
        <v>-4971.30000000002</v>
      </c>
    </row>
    <row r="30" customFormat="false" ht="15" hidden="false" customHeight="false" outlineLevel="0" collapsed="false">
      <c r="A30" s="10" t="s">
        <v>75</v>
      </c>
    </row>
    <row r="31" customFormat="false" ht="15" hidden="false" customHeight="false" outlineLevel="0" collapsed="false">
      <c r="A31" s="21" t="s">
        <v>76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52</v>
      </c>
      <c r="B32" s="4" t="s">
        <v>53</v>
      </c>
      <c r="C32" s="4" t="s">
        <v>54</v>
      </c>
      <c r="D32" s="4" t="s">
        <v>55</v>
      </c>
      <c r="E32" s="4" t="s">
        <v>56</v>
      </c>
      <c r="F32" s="4" t="s">
        <v>57</v>
      </c>
      <c r="G32" s="4" t="s">
        <v>77</v>
      </c>
      <c r="H32" s="4" t="s">
        <v>78</v>
      </c>
      <c r="I32" s="4" t="s">
        <v>60</v>
      </c>
      <c r="J32" s="4" t="s">
        <v>61</v>
      </c>
      <c r="K32" s="4" t="s">
        <v>62</v>
      </c>
      <c r="L32" s="4" t="s">
        <v>63</v>
      </c>
    </row>
    <row r="33" customFormat="false" ht="15" hidden="false" customHeight="false" outlineLevel="0" collapsed="false">
      <c r="A33" s="23" t="n">
        <v>1</v>
      </c>
      <c r="B33" s="23" t="s">
        <v>19</v>
      </c>
      <c r="C33" s="23" t="s">
        <v>18</v>
      </c>
      <c r="D33" s="24" t="n">
        <v>383408.73</v>
      </c>
      <c r="E33" s="24" t="n">
        <v>0</v>
      </c>
      <c r="F33" s="24" t="n">
        <v>0</v>
      </c>
      <c r="G33" s="24" t="n">
        <v>31950.77</v>
      </c>
      <c r="H33" s="24" t="n">
        <v>13942.17</v>
      </c>
      <c r="I33" s="24" t="n">
        <f aca="false">G33+H33</f>
        <v>45892.94</v>
      </c>
      <c r="J33" s="24" t="n">
        <f aca="false">D33-I33</f>
        <v>337515.79</v>
      </c>
      <c r="K33" s="25" t="s">
        <v>64</v>
      </c>
      <c r="L33" s="25" t="s">
        <v>65</v>
      </c>
    </row>
    <row r="34" customFormat="false" ht="15" hidden="false" customHeight="false" outlineLevel="0" collapsed="false">
      <c r="A34" s="23" t="n">
        <v>2</v>
      </c>
      <c r="B34" s="23" t="s">
        <v>20</v>
      </c>
      <c r="C34" s="23" t="s">
        <v>18</v>
      </c>
      <c r="D34" s="24" t="n">
        <v>41779.44</v>
      </c>
      <c r="E34" s="24" t="n">
        <v>0</v>
      </c>
      <c r="F34" s="24" t="n">
        <v>41779.44</v>
      </c>
      <c r="G34" s="24" t="n">
        <v>41779.44</v>
      </c>
      <c r="H34" s="24" t="n">
        <v>0</v>
      </c>
      <c r="I34" s="24" t="n">
        <f aca="false">G34+H34</f>
        <v>41779.44</v>
      </c>
      <c r="J34" s="24" t="n">
        <f aca="false">D34-I34</f>
        <v>0</v>
      </c>
      <c r="K34" s="25" t="s">
        <v>66</v>
      </c>
      <c r="L34" s="25" t="s">
        <v>67</v>
      </c>
    </row>
    <row r="35" customFormat="false" ht="15" hidden="false" customHeight="false" outlineLevel="0" collapsed="false">
      <c r="A35" s="23" t="n">
        <v>3</v>
      </c>
      <c r="B35" s="23" t="s">
        <v>21</v>
      </c>
      <c r="C35" s="23" t="s">
        <v>18</v>
      </c>
      <c r="D35" s="24" t="n">
        <v>78336.54</v>
      </c>
      <c r="E35" s="24" t="n">
        <v>0</v>
      </c>
      <c r="F35" s="24" t="n">
        <v>78336.54</v>
      </c>
      <c r="G35" s="24" t="n">
        <v>78336.54</v>
      </c>
      <c r="H35" s="24" t="n">
        <v>0</v>
      </c>
      <c r="I35" s="24" t="n">
        <f aca="false">G35+H35</f>
        <v>78336.54</v>
      </c>
      <c r="J35" s="24" t="n">
        <f aca="false">D35-I35</f>
        <v>0</v>
      </c>
      <c r="K35" s="25" t="s">
        <v>68</v>
      </c>
      <c r="L35" s="25" t="s">
        <v>69</v>
      </c>
    </row>
    <row r="36" customFormat="false" ht="15" hidden="false" customHeight="false" outlineLevel="0" collapsed="false">
      <c r="A36" s="26"/>
      <c r="B36" s="27" t="s">
        <v>22</v>
      </c>
      <c r="C36" s="26"/>
      <c r="D36" s="28" t="n">
        <f aca="false">SUM(D33:D35)</f>
        <v>503524.71</v>
      </c>
      <c r="E36" s="28" t="n">
        <f aca="false">SUM(E33:E35)</f>
        <v>0</v>
      </c>
      <c r="F36" s="28" t="n">
        <f aca="false">SUM(F33:F35)</f>
        <v>120115.98</v>
      </c>
      <c r="G36" s="28" t="n">
        <f aca="false">SUM(G33:G35)</f>
        <v>152066.75</v>
      </c>
      <c r="H36" s="28" t="n">
        <f aca="false">SUM(H33:H35)</f>
        <v>13942.17</v>
      </c>
      <c r="I36" s="28" t="n">
        <f aca="false">SUM(I33:I35)</f>
        <v>166008.92</v>
      </c>
      <c r="J36" s="28" t="n">
        <f aca="false">SUM(J33:J35)</f>
        <v>337515.79</v>
      </c>
      <c r="K36" s="26"/>
      <c r="L36" s="26"/>
    </row>
    <row r="38" customFormat="false" ht="15" hidden="false" customHeight="false" outlineLevel="0" collapsed="false">
      <c r="A38" s="21" t="s">
        <v>79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52</v>
      </c>
      <c r="B39" s="4" t="s">
        <v>53</v>
      </c>
      <c r="C39" s="4" t="s">
        <v>54</v>
      </c>
      <c r="D39" s="4" t="s">
        <v>55</v>
      </c>
      <c r="E39" s="4" t="s">
        <v>56</v>
      </c>
      <c r="F39" s="4" t="s">
        <v>57</v>
      </c>
      <c r="G39" s="4" t="s">
        <v>77</v>
      </c>
      <c r="H39" s="4" t="s">
        <v>78</v>
      </c>
      <c r="I39" s="4" t="s">
        <v>60</v>
      </c>
      <c r="J39" s="4" t="s">
        <v>61</v>
      </c>
      <c r="K39" s="4" t="s">
        <v>62</v>
      </c>
      <c r="L39" s="4" t="s">
        <v>63</v>
      </c>
    </row>
    <row r="40" customFormat="false" ht="15" hidden="false" customHeight="false" outlineLevel="0" collapsed="false">
      <c r="A40" s="23" t="n">
        <v>1</v>
      </c>
      <c r="B40" s="23" t="s">
        <v>33</v>
      </c>
      <c r="C40" s="23" t="s">
        <v>18</v>
      </c>
      <c r="D40" s="24" t="n">
        <v>95762.44</v>
      </c>
      <c r="E40" s="24" t="n">
        <v>0</v>
      </c>
      <c r="F40" s="24" t="n">
        <v>95762.44</v>
      </c>
      <c r="G40" s="24" t="n">
        <v>95762.44</v>
      </c>
      <c r="H40" s="24" t="n">
        <v>0</v>
      </c>
      <c r="I40" s="24" t="n">
        <f aca="false">G40+H40</f>
        <v>95762.44</v>
      </c>
      <c r="J40" s="24" t="n">
        <f aca="false">D40-I40</f>
        <v>0</v>
      </c>
      <c r="K40" s="25" t="s">
        <v>68</v>
      </c>
      <c r="L40" s="25" t="s">
        <v>69</v>
      </c>
    </row>
    <row r="41" customFormat="false" ht="15" hidden="false" customHeight="false" outlineLevel="0" collapsed="false">
      <c r="A41" s="23" t="n">
        <v>2</v>
      </c>
      <c r="B41" s="23" t="s">
        <v>26</v>
      </c>
      <c r="C41" s="23" t="s">
        <v>18</v>
      </c>
      <c r="D41" s="24" t="n">
        <v>287646.29</v>
      </c>
      <c r="E41" s="24" t="n">
        <v>0</v>
      </c>
      <c r="F41" s="24" t="n">
        <v>0</v>
      </c>
      <c r="G41" s="24" t="n">
        <v>23970.53</v>
      </c>
      <c r="H41" s="24" t="n">
        <v>10459.87</v>
      </c>
      <c r="I41" s="24" t="n">
        <f aca="false">G41+H41</f>
        <v>34430.4</v>
      </c>
      <c r="J41" s="24" t="n">
        <f aca="false">D41-I41</f>
        <v>253215.89</v>
      </c>
      <c r="K41" s="25" t="s">
        <v>64</v>
      </c>
      <c r="L41" s="25" t="s">
        <v>65</v>
      </c>
    </row>
    <row r="42" customFormat="false" ht="15" hidden="false" customHeight="false" outlineLevel="0" collapsed="false">
      <c r="A42" s="23" t="n">
        <v>3</v>
      </c>
      <c r="B42" s="23" t="s">
        <v>34</v>
      </c>
      <c r="C42" s="23" t="s">
        <v>18</v>
      </c>
      <c r="D42" s="24" t="n">
        <v>10435.08</v>
      </c>
      <c r="E42" s="24" t="n">
        <v>0</v>
      </c>
      <c r="F42" s="24" t="n">
        <v>10435.08</v>
      </c>
      <c r="G42" s="24" t="n">
        <v>10435.08</v>
      </c>
      <c r="H42" s="24" t="n">
        <v>0</v>
      </c>
      <c r="I42" s="24" t="n">
        <f aca="false">G42+H42</f>
        <v>10435.08</v>
      </c>
      <c r="J42" s="24" t="n">
        <f aca="false">D42-I42</f>
        <v>0</v>
      </c>
      <c r="K42" s="25" t="s">
        <v>68</v>
      </c>
      <c r="L42" s="25" t="s">
        <v>69</v>
      </c>
    </row>
    <row r="43" customFormat="false" ht="15" hidden="false" customHeight="false" outlineLevel="0" collapsed="false">
      <c r="A43" s="23" t="n">
        <v>4</v>
      </c>
      <c r="B43" s="23" t="s">
        <v>26</v>
      </c>
      <c r="C43" s="23" t="s">
        <v>18</v>
      </c>
      <c r="D43" s="24" t="n">
        <v>31344.36</v>
      </c>
      <c r="E43" s="24" t="n">
        <v>0</v>
      </c>
      <c r="F43" s="24" t="n">
        <v>0</v>
      </c>
      <c r="G43" s="24" t="n">
        <v>2612.02</v>
      </c>
      <c r="H43" s="24" t="n">
        <v>1139.79</v>
      </c>
      <c r="I43" s="24" t="n">
        <f aca="false">G43+H43</f>
        <v>3751.81</v>
      </c>
      <c r="J43" s="24" t="n">
        <f aca="false">D43-I43</f>
        <v>27592.55</v>
      </c>
      <c r="K43" s="25" t="s">
        <v>64</v>
      </c>
      <c r="L43" s="25" t="s">
        <v>65</v>
      </c>
    </row>
    <row r="44" customFormat="false" ht="15" hidden="false" customHeight="false" outlineLevel="0" collapsed="false">
      <c r="A44" s="23" t="n">
        <v>5</v>
      </c>
      <c r="B44" s="23" t="s">
        <v>35</v>
      </c>
      <c r="C44" s="23" t="s">
        <v>18</v>
      </c>
      <c r="D44" s="24" t="n">
        <v>19565.8</v>
      </c>
      <c r="E44" s="24" t="n">
        <v>0</v>
      </c>
      <c r="F44" s="24" t="n">
        <v>19565.8</v>
      </c>
      <c r="G44" s="24" t="n">
        <v>19565.8</v>
      </c>
      <c r="H44" s="24" t="n">
        <v>0</v>
      </c>
      <c r="I44" s="24" t="n">
        <f aca="false">G44+H44</f>
        <v>19565.8</v>
      </c>
      <c r="J44" s="24" t="n">
        <f aca="false">D44-I44</f>
        <v>0</v>
      </c>
      <c r="K44" s="25" t="s">
        <v>68</v>
      </c>
      <c r="L44" s="25" t="s">
        <v>69</v>
      </c>
    </row>
    <row r="45" customFormat="false" ht="15" hidden="false" customHeight="false" outlineLevel="0" collapsed="false">
      <c r="A45" s="23" t="n">
        <v>6</v>
      </c>
      <c r="B45" s="23" t="s">
        <v>32</v>
      </c>
      <c r="C45" s="23" t="s">
        <v>18</v>
      </c>
      <c r="D45" s="24" t="n">
        <v>58770.74</v>
      </c>
      <c r="E45" s="24" t="n">
        <v>0</v>
      </c>
      <c r="F45" s="24" t="n">
        <v>0</v>
      </c>
      <c r="G45" s="24" t="n">
        <v>4897.57</v>
      </c>
      <c r="H45" s="24" t="n">
        <v>2137.12</v>
      </c>
      <c r="I45" s="24" t="n">
        <f aca="false">G45+H45</f>
        <v>7034.69</v>
      </c>
      <c r="J45" s="24" t="n">
        <f aca="false">D45-I45</f>
        <v>51736.05</v>
      </c>
      <c r="K45" s="25" t="s">
        <v>64</v>
      </c>
      <c r="L45" s="25" t="s">
        <v>65</v>
      </c>
    </row>
    <row r="46" customFormat="false" ht="15" hidden="false" customHeight="false" outlineLevel="0" collapsed="false">
      <c r="A46" s="26"/>
      <c r="B46" s="27" t="s">
        <v>22</v>
      </c>
      <c r="C46" s="26"/>
      <c r="D46" s="28" t="n">
        <f aca="false">SUM(D40:D45)</f>
        <v>503524.71</v>
      </c>
      <c r="E46" s="28" t="n">
        <f aca="false">SUM(E40:E45)</f>
        <v>0</v>
      </c>
      <c r="F46" s="28" t="n">
        <f aca="false">SUM(F40:F45)</f>
        <v>125763.32</v>
      </c>
      <c r="G46" s="28" t="n">
        <f aca="false">SUM(G40:G45)</f>
        <v>157243.44</v>
      </c>
      <c r="H46" s="28" t="n">
        <f aca="false">SUM(H40:H45)</f>
        <v>13736.78</v>
      </c>
      <c r="I46" s="28" t="n">
        <f aca="false">SUM(I40:I45)</f>
        <v>170980.22</v>
      </c>
      <c r="J46" s="28" t="n">
        <f aca="false">SUM(J40:J45)</f>
        <v>332544.49</v>
      </c>
      <c r="K46" s="26"/>
      <c r="L46" s="26"/>
    </row>
    <row r="48" customFormat="false" ht="15" hidden="false" customHeight="false" outlineLevel="0" collapsed="false">
      <c r="B48" s="18" t="s">
        <v>80</v>
      </c>
    </row>
    <row r="49" customFormat="false" ht="15" hidden="false" customHeight="false" outlineLevel="0" collapsed="false">
      <c r="B49" s="5" t="s">
        <v>73</v>
      </c>
      <c r="D49" s="6" t="n">
        <f aca="false">I36</f>
        <v>166008.92</v>
      </c>
    </row>
    <row r="50" customFormat="false" ht="15" hidden="false" customHeight="false" outlineLevel="0" collapsed="false">
      <c r="B50" s="5" t="s">
        <v>74</v>
      </c>
      <c r="D50" s="6" t="n">
        <f aca="false">I46</f>
        <v>170980.22</v>
      </c>
    </row>
    <row r="51" customFormat="false" ht="15" hidden="false" customHeight="false" outlineLevel="0" collapsed="false">
      <c r="B51" s="11" t="s">
        <v>80</v>
      </c>
      <c r="D51" s="29" t="n">
        <f aca="false">D49-D50</f>
        <v>-4971.30000000002</v>
      </c>
    </row>
    <row r="53" customFormat="false" ht="15" hidden="false" customHeight="false" outlineLevel="0" collapsed="false">
      <c r="A53" s="10" t="s">
        <v>81</v>
      </c>
    </row>
    <row r="54" customFormat="false" ht="15" hidden="false" customHeight="false" outlineLevel="0" collapsed="false">
      <c r="B54" s="11" t="s">
        <v>115</v>
      </c>
      <c r="D54" s="12" t="n">
        <f aca="false">D93</f>
        <v>503524.71</v>
      </c>
    </row>
    <row r="55" customFormat="false" ht="15" hidden="false" customHeight="false" outlineLevel="0" collapsed="false">
      <c r="B55" s="5" t="s">
        <v>116</v>
      </c>
      <c r="D55" s="6" t="n">
        <f aca="false">F93</f>
        <v>125763.32</v>
      </c>
    </row>
    <row r="56" customFormat="false" ht="15" hidden="false" customHeight="false" outlineLevel="0" collapsed="false">
      <c r="B56" s="30" t="s">
        <v>84</v>
      </c>
      <c r="D56" s="31" t="n">
        <f aca="false">F94</f>
        <v>0.249765935022335</v>
      </c>
    </row>
    <row r="57" customFormat="false" ht="15" hidden="false" customHeight="false" outlineLevel="0" collapsed="false">
      <c r="B57" s="5" t="s">
        <v>117</v>
      </c>
      <c r="D57" s="6" t="n">
        <f aca="false">H93</f>
        <v>377761.39</v>
      </c>
    </row>
    <row r="58" customFormat="false" ht="15" hidden="false" customHeight="false" outlineLevel="0" collapsed="false">
      <c r="B58" s="30" t="s">
        <v>84</v>
      </c>
      <c r="D58" s="31" t="n">
        <f aca="false">H94</f>
        <v>0.750234064977665</v>
      </c>
    </row>
    <row r="60" customFormat="false" ht="15" hidden="false" customHeight="false" outlineLevel="0" collapsed="false">
      <c r="A60" s="10" t="s">
        <v>87</v>
      </c>
    </row>
    <row r="61" customFormat="false" ht="15" hidden="false" customHeight="false" outlineLevel="0" collapsed="false">
      <c r="B61" s="4" t="s">
        <v>88</v>
      </c>
      <c r="D61" s="4" t="s">
        <v>55</v>
      </c>
      <c r="F61" s="4" t="s">
        <v>118</v>
      </c>
      <c r="H61" s="4" t="s">
        <v>91</v>
      </c>
    </row>
    <row r="62" customFormat="false" ht="15" hidden="false" customHeight="false" outlineLevel="0" collapsed="false">
      <c r="B62" s="32" t="s">
        <v>119</v>
      </c>
    </row>
    <row r="63" customFormat="false" ht="15" hidden="false" customHeight="false" outlineLevel="0" collapsed="false">
      <c r="B63" s="5" t="s">
        <v>120</v>
      </c>
      <c r="D63" s="33" t="n">
        <f aca="false">SUM(F63:H63)</f>
        <v>26757.81</v>
      </c>
      <c r="F63" s="33" t="n">
        <v>26757.81</v>
      </c>
    </row>
    <row r="64" customFormat="false" ht="15" hidden="false" customHeight="false" outlineLevel="0" collapsed="false">
      <c r="B64" s="5" t="s">
        <v>121</v>
      </c>
      <c r="D64" s="33" t="n">
        <f aca="false">SUM(F64:H64)</f>
        <v>7990.89</v>
      </c>
      <c r="F64" s="33" t="n">
        <v>7990.89</v>
      </c>
    </row>
    <row r="65" customFormat="false" ht="15" hidden="false" customHeight="false" outlineLevel="0" collapsed="false">
      <c r="B65" s="5" t="s">
        <v>122</v>
      </c>
      <c r="D65" s="33" t="n">
        <f aca="false">SUM(F65:H65)</f>
        <v>37800.94</v>
      </c>
      <c r="F65" s="33" t="n">
        <v>37800.94</v>
      </c>
    </row>
    <row r="66" customFormat="false" ht="15" hidden="false" customHeight="false" outlineLevel="0" collapsed="false">
      <c r="B66" s="5" t="s">
        <v>123</v>
      </c>
      <c r="D66" s="33" t="n">
        <f aca="false">SUM(F66:H66)</f>
        <v>2842.52</v>
      </c>
      <c r="F66" s="33" t="n">
        <v>2842.52</v>
      </c>
    </row>
    <row r="67" customFormat="false" ht="15" hidden="false" customHeight="false" outlineLevel="0" collapsed="false">
      <c r="B67" s="5" t="s">
        <v>124</v>
      </c>
      <c r="D67" s="33" t="n">
        <f aca="false">SUM(F67:H67)</f>
        <v>2418.44</v>
      </c>
      <c r="F67" s="33" t="n">
        <v>2418.44</v>
      </c>
    </row>
    <row r="68" customFormat="false" ht="15" hidden="false" customHeight="false" outlineLevel="0" collapsed="false">
      <c r="B68" s="5" t="s">
        <v>125</v>
      </c>
      <c r="D68" s="33" t="n">
        <f aca="false">SUM(F68:H68)</f>
        <v>718.3</v>
      </c>
      <c r="F68" s="33" t="n">
        <v>718.3</v>
      </c>
    </row>
    <row r="69" customFormat="false" ht="15" hidden="false" customHeight="false" outlineLevel="0" collapsed="false">
      <c r="B69" s="5" t="s">
        <v>126</v>
      </c>
      <c r="D69" s="33" t="n">
        <f aca="false">SUM(F69:H69)</f>
        <v>705.03</v>
      </c>
      <c r="F69" s="33" t="n">
        <v>705.03</v>
      </c>
    </row>
    <row r="70" customFormat="false" ht="15" hidden="false" customHeight="false" outlineLevel="0" collapsed="false">
      <c r="B70" s="5" t="s">
        <v>127</v>
      </c>
      <c r="D70" s="33" t="n">
        <f aca="false">SUM(F70:H70)</f>
        <v>12363.8</v>
      </c>
      <c r="F70" s="33" t="n">
        <v>12363.8</v>
      </c>
    </row>
    <row r="71" customFormat="false" ht="15" hidden="false" customHeight="false" outlineLevel="0" collapsed="false">
      <c r="B71" s="5" t="s">
        <v>128</v>
      </c>
      <c r="D71" s="33" t="n">
        <f aca="false">SUM(F71:H71)</f>
        <v>3400.77</v>
      </c>
      <c r="F71" s="33" t="n">
        <v>3400.77</v>
      </c>
    </row>
    <row r="72" customFormat="false" ht="15" hidden="false" customHeight="false" outlineLevel="0" collapsed="false">
      <c r="B72" s="5" t="s">
        <v>129</v>
      </c>
      <c r="D72" s="33" t="n">
        <f aca="false">SUM(F72:H72)</f>
        <v>13431.92</v>
      </c>
      <c r="F72" s="33" t="n">
        <v>13431.92</v>
      </c>
    </row>
    <row r="73" customFormat="false" ht="15" hidden="false" customHeight="false" outlineLevel="0" collapsed="false">
      <c r="B73" s="5" t="s">
        <v>130</v>
      </c>
      <c r="D73" s="33" t="n">
        <f aca="false">SUM(F73:H73)</f>
        <v>1140.5</v>
      </c>
      <c r="F73" s="33" t="n">
        <v>1140.5</v>
      </c>
    </row>
    <row r="74" customFormat="false" ht="15" hidden="false" customHeight="false" outlineLevel="0" collapsed="false">
      <c r="B74" s="5" t="s">
        <v>131</v>
      </c>
      <c r="D74" s="33" t="n">
        <f aca="false">SUM(F74:H74)</f>
        <v>1360.86</v>
      </c>
      <c r="F74" s="33" t="n">
        <v>1360.86</v>
      </c>
    </row>
    <row r="75" customFormat="false" ht="15" hidden="false" customHeight="false" outlineLevel="0" collapsed="false">
      <c r="B75" s="5" t="s">
        <v>132</v>
      </c>
      <c r="D75" s="33" t="n">
        <f aca="false">SUM(F75:H75)</f>
        <v>14831.54</v>
      </c>
      <c r="F75" s="33" t="n">
        <v>14831.54</v>
      </c>
    </row>
    <row r="76" customFormat="false" ht="15" hidden="false" customHeight="false" outlineLevel="0" collapsed="false">
      <c r="B76" s="32" t="s">
        <v>133</v>
      </c>
    </row>
    <row r="77" customFormat="false" ht="15" hidden="false" customHeight="false" outlineLevel="0" collapsed="false">
      <c r="B77" s="5" t="s">
        <v>134</v>
      </c>
      <c r="D77" s="33" t="n">
        <f aca="false">SUM(F77:H77)</f>
        <v>25110.72</v>
      </c>
      <c r="H77" s="33" t="n">
        <v>25110.72</v>
      </c>
    </row>
    <row r="78" customFormat="false" ht="15" hidden="false" customHeight="false" outlineLevel="0" collapsed="false">
      <c r="B78" s="5" t="s">
        <v>135</v>
      </c>
      <c r="D78" s="33" t="n">
        <f aca="false">SUM(F78:H78)</f>
        <v>35390.34</v>
      </c>
      <c r="H78" s="33" t="n">
        <v>35390.34</v>
      </c>
    </row>
    <row r="79" customFormat="false" ht="15" hidden="false" customHeight="false" outlineLevel="0" collapsed="false">
      <c r="B79" s="5" t="s">
        <v>136</v>
      </c>
      <c r="D79" s="33" t="n">
        <f aca="false">SUM(F79:H79)</f>
        <v>29008.33</v>
      </c>
      <c r="H79" s="33" t="n">
        <v>29008.33</v>
      </c>
    </row>
    <row r="80" customFormat="false" ht="15" hidden="false" customHeight="false" outlineLevel="0" collapsed="false">
      <c r="B80" s="5" t="s">
        <v>137</v>
      </c>
      <c r="D80" s="33" t="n">
        <f aca="false">SUM(F80:H80)</f>
        <v>31389.04</v>
      </c>
      <c r="H80" s="33" t="n">
        <v>31389.04</v>
      </c>
    </row>
    <row r="81" customFormat="false" ht="15" hidden="false" customHeight="false" outlineLevel="0" collapsed="false">
      <c r="B81" s="5" t="s">
        <v>138</v>
      </c>
      <c r="D81" s="33" t="n">
        <f aca="false">SUM(F81:H81)</f>
        <v>26496.62</v>
      </c>
      <c r="H81" s="33" t="n">
        <v>26496.62</v>
      </c>
    </row>
    <row r="82" customFormat="false" ht="15" hidden="false" customHeight="false" outlineLevel="0" collapsed="false">
      <c r="B82" s="5" t="s">
        <v>139</v>
      </c>
      <c r="D82" s="33" t="n">
        <f aca="false">SUM(F82:H82)</f>
        <v>12009.05</v>
      </c>
      <c r="H82" s="33" t="n">
        <v>12009.05</v>
      </c>
    </row>
    <row r="83" customFormat="false" ht="15" hidden="false" customHeight="false" outlineLevel="0" collapsed="false">
      <c r="B83" s="5" t="s">
        <v>140</v>
      </c>
      <c r="D83" s="33" t="n">
        <f aca="false">SUM(F83:H83)</f>
        <v>23153.47</v>
      </c>
      <c r="H83" s="33" t="n">
        <v>23153.47</v>
      </c>
    </row>
    <row r="84" customFormat="false" ht="15" hidden="false" customHeight="false" outlineLevel="0" collapsed="false">
      <c r="B84" s="5" t="s">
        <v>141</v>
      </c>
      <c r="D84" s="33" t="n">
        <f aca="false">SUM(F84:H84)</f>
        <v>10659.46</v>
      </c>
      <c r="H84" s="33" t="n">
        <v>10659.46</v>
      </c>
    </row>
    <row r="85" customFormat="false" ht="15" hidden="false" customHeight="false" outlineLevel="0" collapsed="false">
      <c r="B85" s="5" t="s">
        <v>142</v>
      </c>
      <c r="D85" s="33" t="n">
        <f aca="false">SUM(F85:H85)</f>
        <v>16835.06</v>
      </c>
      <c r="H85" s="33" t="n">
        <v>16835.06</v>
      </c>
    </row>
    <row r="86" customFormat="false" ht="15" hidden="false" customHeight="false" outlineLevel="0" collapsed="false">
      <c r="B86" s="5" t="s">
        <v>143</v>
      </c>
      <c r="D86" s="33" t="n">
        <f aca="false">SUM(F86:H86)</f>
        <v>39604.25</v>
      </c>
      <c r="H86" s="33" t="n">
        <v>39604.25</v>
      </c>
    </row>
    <row r="87" customFormat="false" ht="15" hidden="false" customHeight="false" outlineLevel="0" collapsed="false">
      <c r="B87" s="5" t="s">
        <v>144</v>
      </c>
      <c r="D87" s="33" t="n">
        <f aca="false">SUM(F87:H87)</f>
        <v>16001</v>
      </c>
      <c r="H87" s="33" t="n">
        <v>16001</v>
      </c>
    </row>
    <row r="88" customFormat="false" ht="15" hidden="false" customHeight="false" outlineLevel="0" collapsed="false">
      <c r="B88" s="5" t="s">
        <v>145</v>
      </c>
      <c r="D88" s="33" t="n">
        <f aca="false">SUM(F88:H88)</f>
        <v>1863.69</v>
      </c>
      <c r="H88" s="33" t="n">
        <v>1863.69</v>
      </c>
    </row>
    <row r="89" customFormat="false" ht="15" hidden="false" customHeight="false" outlineLevel="0" collapsed="false">
      <c r="B89" s="5" t="s">
        <v>146</v>
      </c>
      <c r="D89" s="33" t="n">
        <f aca="false">SUM(F89:H89)</f>
        <v>82713.76</v>
      </c>
      <c r="H89" s="33" t="n">
        <v>82713.76</v>
      </c>
    </row>
    <row r="90" customFormat="false" ht="15" hidden="false" customHeight="false" outlineLevel="0" collapsed="false">
      <c r="B90" s="5" t="s">
        <v>147</v>
      </c>
      <c r="D90" s="33" t="n">
        <f aca="false">SUM(F90:H90)</f>
        <v>10815.9</v>
      </c>
      <c r="H90" s="33" t="n">
        <v>10815.9</v>
      </c>
    </row>
    <row r="91" customFormat="false" ht="15" hidden="false" customHeight="false" outlineLevel="0" collapsed="false">
      <c r="B91" s="5" t="s">
        <v>148</v>
      </c>
      <c r="D91" s="33" t="n">
        <f aca="false">SUM(F91:H91)</f>
        <v>9740.22</v>
      </c>
      <c r="H91" s="33" t="n">
        <v>9740.22</v>
      </c>
    </row>
    <row r="92" customFormat="false" ht="15" hidden="false" customHeight="false" outlineLevel="0" collapsed="false">
      <c r="B92" s="5" t="s">
        <v>149</v>
      </c>
      <c r="D92" s="33" t="n">
        <f aca="false">SUM(F92:H92)</f>
        <v>6970.48</v>
      </c>
      <c r="H92" s="33" t="n">
        <v>6970.48</v>
      </c>
    </row>
    <row r="93" customFormat="false" ht="15" hidden="false" customHeight="false" outlineLevel="0" collapsed="false">
      <c r="B93" s="11" t="s">
        <v>115</v>
      </c>
      <c r="D93" s="34" t="n">
        <f aca="false">SUM(D62:D92)</f>
        <v>503524.71</v>
      </c>
      <c r="F93" s="34" t="n">
        <f aca="false">SUM(F62:F92)</f>
        <v>125763.32</v>
      </c>
      <c r="H93" s="34" t="n">
        <f aca="false">SUM(H62:H92)</f>
        <v>377761.39</v>
      </c>
    </row>
    <row r="94" customFormat="false" ht="15" hidden="false" customHeight="false" outlineLevel="0" collapsed="false">
      <c r="B94" s="30" t="s">
        <v>84</v>
      </c>
      <c r="F94" s="31" t="n">
        <f aca="false">F93/D93</f>
        <v>0.249765935022335</v>
      </c>
      <c r="H94" s="31" t="n">
        <f aca="false">H93/D93</f>
        <v>0.750234064977665</v>
      </c>
    </row>
    <row r="96" customFormat="false" ht="15" hidden="false" customHeight="false" outlineLevel="0" collapsed="false">
      <c r="A96" s="10" t="s">
        <v>110</v>
      </c>
    </row>
    <row r="97" customFormat="false" ht="15" hidden="false" customHeight="false" outlineLevel="0" collapsed="false">
      <c r="B97" s="4" t="s">
        <v>111</v>
      </c>
      <c r="D97" s="4" t="s">
        <v>55</v>
      </c>
      <c r="F97" s="4" t="s">
        <v>118</v>
      </c>
      <c r="H97" s="4" t="s">
        <v>91</v>
      </c>
    </row>
    <row r="98" customFormat="false" ht="15" hidden="false" customHeight="false" outlineLevel="0" collapsed="false">
      <c r="B98" s="5" t="str">
        <f aca="false">'Bldg 1'!B17</f>
        <v>2-Building-5yr</v>
      </c>
      <c r="D98" s="33" t="n">
        <f aca="false">SUM(F98:H98)</f>
        <v>95762.44</v>
      </c>
      <c r="F98" s="33" t="n">
        <f aca="false">'Bldg 1'!D17</f>
        <v>95762.44</v>
      </c>
    </row>
    <row r="99" customFormat="false" ht="15" hidden="false" customHeight="false" outlineLevel="0" collapsed="false">
      <c r="B99" s="5" t="str">
        <f aca="false">'Bldg 1'!B18</f>
        <v>2-Building-27.5yr</v>
      </c>
      <c r="D99" s="33" t="n">
        <f aca="false">SUM(F99:H99)</f>
        <v>287646.29</v>
      </c>
      <c r="H99" s="33" t="n">
        <f aca="false">'Bldg 1'!D18</f>
        <v>287646.29</v>
      </c>
    </row>
    <row r="100" customFormat="false" ht="15" hidden="false" customHeight="false" outlineLevel="0" collapsed="false">
      <c r="B100" s="5" t="str">
        <f aca="false">'Bldg 1'!B19</f>
        <v>3-Land Improvements-5yr</v>
      </c>
      <c r="D100" s="33" t="n">
        <f aca="false">SUM(F100:H100)</f>
        <v>10435.08</v>
      </c>
      <c r="F100" s="33" t="n">
        <f aca="false">'Bldg 1'!D19</f>
        <v>10435.08</v>
      </c>
    </row>
    <row r="101" customFormat="false" ht="15" hidden="false" customHeight="false" outlineLevel="0" collapsed="false">
      <c r="B101" s="5" t="str">
        <f aca="false">'Bldg 1'!B20</f>
        <v>2-Building-27.5yr</v>
      </c>
      <c r="D101" s="33" t="n">
        <f aca="false">SUM(F101:H101)</f>
        <v>31344.36</v>
      </c>
      <c r="H101" s="33" t="n">
        <f aca="false">'Bldg 1'!D20</f>
        <v>31344.36</v>
      </c>
    </row>
    <row r="102" customFormat="false" ht="15" hidden="false" customHeight="false" outlineLevel="0" collapsed="false">
      <c r="B102" s="5" t="str">
        <f aca="false">'Bldg 1'!B21</f>
        <v>4-Equipment-5yr</v>
      </c>
      <c r="D102" s="33" t="n">
        <f aca="false">SUM(F102:H102)</f>
        <v>19565.8</v>
      </c>
      <c r="F102" s="33" t="n">
        <f aca="false">'Bldg 1'!D21</f>
        <v>19565.8</v>
      </c>
    </row>
    <row r="103" customFormat="false" ht="15" hidden="false" customHeight="false" outlineLevel="0" collapsed="false">
      <c r="B103" s="5" t="str">
        <f aca="false">'Bldg 1'!B22</f>
        <v>4-Equipment-27.5yr</v>
      </c>
      <c r="D103" s="33" t="n">
        <f aca="false">SUM(F103:H103)</f>
        <v>58770.74</v>
      </c>
      <c r="H103" s="33" t="n">
        <f aca="false">'Bldg 1'!D22</f>
        <v>58770.74</v>
      </c>
    </row>
    <row r="104" customFormat="false" ht="15" hidden="false" customHeight="false" outlineLevel="0" collapsed="false">
      <c r="B104" s="11" t="s">
        <v>112</v>
      </c>
      <c r="D104" s="34" t="n">
        <f aca="false">SUM(D98:D103)</f>
        <v>503524.71</v>
      </c>
      <c r="F104" s="34" t="n">
        <f aca="false">SUM(F98:F103)</f>
        <v>125763.32</v>
      </c>
      <c r="H104" s="34" t="n">
        <f aca="false">SUM(H98:H103)</f>
        <v>377761.39</v>
      </c>
    </row>
    <row r="105" customFormat="false" ht="15" hidden="false" customHeight="false" outlineLevel="0" collapsed="false">
      <c r="B105" s="16" t="s">
        <v>113</v>
      </c>
      <c r="D105" s="17" t="n">
        <f aca="false">D104-D93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150</v>
      </c>
    </row>
    <row r="5" customFormat="false" ht="15" hidden="false" customHeight="false" outlineLevel="0" collapsed="false">
      <c r="A5" s="16" t="s">
        <v>49</v>
      </c>
    </row>
    <row r="7" customFormat="false" ht="15" hidden="false" customHeight="false" outlineLevel="0" collapsed="false">
      <c r="A7" s="10" t="s">
        <v>50</v>
      </c>
    </row>
    <row r="8" customFormat="false" ht="15" hidden="false" customHeight="false" outlineLevel="0" collapsed="false">
      <c r="A8" s="21" t="s">
        <v>51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18</v>
      </c>
      <c r="D10" s="24" t="n">
        <v>302676.39</v>
      </c>
      <c r="E10" s="24" t="n">
        <v>0</v>
      </c>
      <c r="F10" s="24" t="n">
        <v>0</v>
      </c>
      <c r="G10" s="24" t="n">
        <v>25223.07</v>
      </c>
      <c r="H10" s="24" t="n">
        <v>11006.44</v>
      </c>
      <c r="I10" s="24" t="n">
        <f aca="false">G10+H10</f>
        <v>36229.51</v>
      </c>
      <c r="J10" s="24" t="n">
        <f aca="false">D10-I10</f>
        <v>266446.88</v>
      </c>
      <c r="K10" s="25" t="s">
        <v>64</v>
      </c>
      <c r="L10" s="25" t="s">
        <v>65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18</v>
      </c>
      <c r="D11" s="24" t="n">
        <v>32982.17</v>
      </c>
      <c r="E11" s="24" t="n">
        <v>0</v>
      </c>
      <c r="F11" s="24" t="n">
        <v>32982.17</v>
      </c>
      <c r="G11" s="24" t="n">
        <v>32982.17</v>
      </c>
      <c r="H11" s="24" t="n">
        <v>0</v>
      </c>
      <c r="I11" s="24" t="n">
        <f aca="false">G11+H11</f>
        <v>32982.17</v>
      </c>
      <c r="J11" s="24" t="n">
        <f aca="false">D11-I11</f>
        <v>0</v>
      </c>
      <c r="K11" s="25" t="s">
        <v>66</v>
      </c>
      <c r="L11" s="25" t="s">
        <v>67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18</v>
      </c>
      <c r="D12" s="24" t="n">
        <v>61841.63</v>
      </c>
      <c r="E12" s="24" t="n">
        <v>0</v>
      </c>
      <c r="F12" s="24" t="n">
        <v>61841.63</v>
      </c>
      <c r="G12" s="24" t="n">
        <v>61841.63</v>
      </c>
      <c r="H12" s="24" t="n">
        <v>0</v>
      </c>
      <c r="I12" s="24" t="n">
        <f aca="false">G12+H12</f>
        <v>61841.63</v>
      </c>
      <c r="J12" s="24" t="n">
        <f aca="false">D12-I12</f>
        <v>0</v>
      </c>
      <c r="K12" s="25" t="s">
        <v>68</v>
      </c>
      <c r="L12" s="25" t="s">
        <v>69</v>
      </c>
    </row>
    <row r="13" customFormat="false" ht="15" hidden="false" customHeight="false" outlineLevel="0" collapsed="false">
      <c r="A13" s="26"/>
      <c r="B13" s="27" t="s">
        <v>22</v>
      </c>
      <c r="C13" s="26"/>
      <c r="D13" s="28" t="n">
        <f aca="false">SUM(D10:D12)</f>
        <v>397500.19</v>
      </c>
      <c r="E13" s="28" t="n">
        <f aca="false">SUM(E10:E12)</f>
        <v>0</v>
      </c>
      <c r="F13" s="28" t="n">
        <f aca="false">SUM(F10:F12)</f>
        <v>94823.8</v>
      </c>
      <c r="G13" s="28" t="n">
        <f aca="false">SUM(G10:G12)</f>
        <v>120046.87</v>
      </c>
      <c r="H13" s="28" t="n">
        <f aca="false">SUM(H10:H12)</f>
        <v>11006.44</v>
      </c>
      <c r="I13" s="28" t="n">
        <f aca="false">SUM(I10:I12)</f>
        <v>131053.31</v>
      </c>
      <c r="J13" s="28" t="n">
        <f aca="false">SUM(J10:J12)</f>
        <v>266446.88</v>
      </c>
      <c r="K13" s="26"/>
      <c r="L13" s="26"/>
    </row>
    <row r="15" customFormat="false" ht="15" hidden="false" customHeight="false" outlineLevel="0" collapsed="false">
      <c r="A15" s="21" t="s">
        <v>70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52</v>
      </c>
      <c r="B16" s="4" t="s">
        <v>53</v>
      </c>
      <c r="C16" s="4" t="s">
        <v>54</v>
      </c>
      <c r="D16" s="4" t="s">
        <v>55</v>
      </c>
      <c r="E16" s="4" t="s">
        <v>56</v>
      </c>
      <c r="F16" s="4" t="s">
        <v>57</v>
      </c>
      <c r="G16" s="4" t="s">
        <v>58</v>
      </c>
      <c r="H16" s="4" t="s">
        <v>59</v>
      </c>
      <c r="I16" s="4" t="s">
        <v>60</v>
      </c>
      <c r="J16" s="4" t="s">
        <v>61</v>
      </c>
      <c r="K16" s="4" t="s">
        <v>62</v>
      </c>
      <c r="L16" s="4" t="s">
        <v>63</v>
      </c>
    </row>
    <row r="17" customFormat="false" ht="15" hidden="false" customHeight="false" outlineLevel="0" collapsed="false">
      <c r="A17" s="23" t="n">
        <v>1</v>
      </c>
      <c r="B17" s="23" t="s">
        <v>33</v>
      </c>
      <c r="C17" s="23" t="s">
        <v>18</v>
      </c>
      <c r="D17" s="24" t="n">
        <v>83590.83</v>
      </c>
      <c r="E17" s="24" t="n">
        <v>0</v>
      </c>
      <c r="F17" s="24" t="n">
        <v>83590.83</v>
      </c>
      <c r="G17" s="24" t="n">
        <v>83590.83</v>
      </c>
      <c r="H17" s="24" t="n">
        <v>0</v>
      </c>
      <c r="I17" s="24" t="n">
        <f aca="false">G17+H17</f>
        <v>83590.83</v>
      </c>
      <c r="J17" s="24" t="n">
        <f aca="false">D17-I17</f>
        <v>0</v>
      </c>
      <c r="K17" s="25" t="s">
        <v>68</v>
      </c>
      <c r="L17" s="25" t="s">
        <v>69</v>
      </c>
    </row>
    <row r="18" customFormat="false" ht="15" hidden="false" customHeight="false" outlineLevel="0" collapsed="false">
      <c r="A18" s="23" t="n">
        <v>2</v>
      </c>
      <c r="B18" s="23" t="s">
        <v>26</v>
      </c>
      <c r="C18" s="23" t="s">
        <v>18</v>
      </c>
      <c r="D18" s="24" t="n">
        <v>219085.56</v>
      </c>
      <c r="E18" s="24" t="n">
        <v>0</v>
      </c>
      <c r="F18" s="24" t="n">
        <v>0</v>
      </c>
      <c r="G18" s="24" t="n">
        <v>18257.13</v>
      </c>
      <c r="H18" s="24" t="n">
        <v>7966.75</v>
      </c>
      <c r="I18" s="24" t="n">
        <f aca="false">G18+H18</f>
        <v>26223.88</v>
      </c>
      <c r="J18" s="24" t="n">
        <f aca="false">D18-I18</f>
        <v>192861.68</v>
      </c>
      <c r="K18" s="25" t="s">
        <v>64</v>
      </c>
      <c r="L18" s="25" t="s">
        <v>65</v>
      </c>
    </row>
    <row r="19" customFormat="false" ht="15" hidden="false" customHeight="false" outlineLevel="0" collapsed="false">
      <c r="A19" s="23" t="n">
        <v>3</v>
      </c>
      <c r="B19" s="23" t="s">
        <v>34</v>
      </c>
      <c r="C19" s="23" t="s">
        <v>18</v>
      </c>
      <c r="D19" s="24" t="n">
        <v>9108.76</v>
      </c>
      <c r="E19" s="24" t="n">
        <v>0</v>
      </c>
      <c r="F19" s="24" t="n">
        <v>9108.76</v>
      </c>
      <c r="G19" s="24" t="n">
        <v>9108.76</v>
      </c>
      <c r="H19" s="24" t="n">
        <v>0</v>
      </c>
      <c r="I19" s="24" t="n">
        <f aca="false">G19+H19</f>
        <v>9108.76</v>
      </c>
      <c r="J19" s="24" t="n">
        <f aca="false">D19-I19</f>
        <v>0</v>
      </c>
      <c r="K19" s="25" t="s">
        <v>68</v>
      </c>
      <c r="L19" s="25" t="s">
        <v>69</v>
      </c>
    </row>
    <row r="20" customFormat="false" ht="15" hidden="false" customHeight="false" outlineLevel="0" collapsed="false">
      <c r="A20" s="23" t="n">
        <v>4</v>
      </c>
      <c r="B20" s="23" t="s">
        <v>26</v>
      </c>
      <c r="C20" s="23" t="s">
        <v>18</v>
      </c>
      <c r="D20" s="24" t="n">
        <v>23873.41</v>
      </c>
      <c r="E20" s="24" t="n">
        <v>0</v>
      </c>
      <c r="F20" s="24" t="n">
        <v>0</v>
      </c>
      <c r="G20" s="24" t="n">
        <v>1989.44</v>
      </c>
      <c r="H20" s="24" t="n">
        <v>868.12</v>
      </c>
      <c r="I20" s="24" t="n">
        <f aca="false">G20+H20</f>
        <v>2857.56</v>
      </c>
      <c r="J20" s="24" t="n">
        <f aca="false">D20-I20</f>
        <v>21015.85</v>
      </c>
      <c r="K20" s="25" t="s">
        <v>64</v>
      </c>
      <c r="L20" s="25" t="s">
        <v>65</v>
      </c>
    </row>
    <row r="21" customFormat="false" ht="15" hidden="false" customHeight="false" outlineLevel="0" collapsed="false">
      <c r="A21" s="23" t="n">
        <v>5</v>
      </c>
      <c r="B21" s="23" t="s">
        <v>35</v>
      </c>
      <c r="C21" s="23" t="s">
        <v>18</v>
      </c>
      <c r="D21" s="24" t="n">
        <v>17078.94</v>
      </c>
      <c r="E21" s="24" t="n">
        <v>0</v>
      </c>
      <c r="F21" s="24" t="n">
        <v>17078.94</v>
      </c>
      <c r="G21" s="24" t="n">
        <v>17078.94</v>
      </c>
      <c r="H21" s="24" t="n">
        <v>0</v>
      </c>
      <c r="I21" s="24" t="n">
        <f aca="false">G21+H21</f>
        <v>17078.94</v>
      </c>
      <c r="J21" s="24" t="n">
        <f aca="false">D21-I21</f>
        <v>0</v>
      </c>
      <c r="K21" s="25" t="s">
        <v>68</v>
      </c>
      <c r="L21" s="25" t="s">
        <v>69</v>
      </c>
    </row>
    <row r="22" customFormat="false" ht="15" hidden="false" customHeight="false" outlineLevel="0" collapsed="false">
      <c r="A22" s="23" t="n">
        <v>6</v>
      </c>
      <c r="B22" s="23" t="s">
        <v>32</v>
      </c>
      <c r="C22" s="23" t="s">
        <v>18</v>
      </c>
      <c r="D22" s="24" t="n">
        <v>44762.69</v>
      </c>
      <c r="E22" s="24" t="n">
        <v>0</v>
      </c>
      <c r="F22" s="24" t="n">
        <v>0</v>
      </c>
      <c r="G22" s="24" t="n">
        <v>3730.22</v>
      </c>
      <c r="H22" s="24" t="n">
        <v>1627.73</v>
      </c>
      <c r="I22" s="24" t="n">
        <f aca="false">G22+H22</f>
        <v>5357.95</v>
      </c>
      <c r="J22" s="24" t="n">
        <f aca="false">D22-I22</f>
        <v>39404.74</v>
      </c>
      <c r="K22" s="25" t="s">
        <v>64</v>
      </c>
      <c r="L22" s="25" t="s">
        <v>65</v>
      </c>
    </row>
    <row r="23" customFormat="false" ht="15" hidden="false" customHeight="false" outlineLevel="0" collapsed="false">
      <c r="A23" s="26"/>
      <c r="B23" s="27" t="s">
        <v>22</v>
      </c>
      <c r="C23" s="26"/>
      <c r="D23" s="28" t="n">
        <f aca="false">SUM(D17:D22)</f>
        <v>397500.19</v>
      </c>
      <c r="E23" s="28" t="n">
        <f aca="false">SUM(E17:E22)</f>
        <v>0</v>
      </c>
      <c r="F23" s="28" t="n">
        <f aca="false">SUM(F17:F22)</f>
        <v>109778.53</v>
      </c>
      <c r="G23" s="28" t="n">
        <f aca="false">SUM(G17:G22)</f>
        <v>133755.32</v>
      </c>
      <c r="H23" s="28" t="n">
        <f aca="false">SUM(H17:H22)</f>
        <v>10462.6</v>
      </c>
      <c r="I23" s="28" t="n">
        <f aca="false">SUM(I17:I22)</f>
        <v>144217.92</v>
      </c>
      <c r="J23" s="28" t="n">
        <f aca="false">SUM(J17:J22)</f>
        <v>253282.27</v>
      </c>
      <c r="K23" s="26"/>
      <c r="L23" s="26"/>
    </row>
    <row r="25" customFormat="false" ht="15" hidden="false" customHeight="false" outlineLevel="0" collapsed="false">
      <c r="B25" s="18" t="s">
        <v>72</v>
      </c>
    </row>
    <row r="26" customFormat="false" ht="15" hidden="false" customHeight="false" outlineLevel="0" collapsed="false">
      <c r="B26" s="5" t="s">
        <v>73</v>
      </c>
      <c r="D26" s="6" t="n">
        <f aca="false">I13</f>
        <v>131053.31</v>
      </c>
    </row>
    <row r="27" customFormat="false" ht="15" hidden="false" customHeight="false" outlineLevel="0" collapsed="false">
      <c r="B27" s="5" t="s">
        <v>74</v>
      </c>
      <c r="D27" s="6" t="n">
        <f aca="false">I23</f>
        <v>144217.92</v>
      </c>
    </row>
    <row r="28" customFormat="false" ht="15" hidden="false" customHeight="false" outlineLevel="0" collapsed="false">
      <c r="B28" s="11" t="s">
        <v>72</v>
      </c>
      <c r="D28" s="29" t="n">
        <f aca="false">D26-D27</f>
        <v>-13164.61</v>
      </c>
    </row>
    <row r="30" customFormat="false" ht="15" hidden="false" customHeight="false" outlineLevel="0" collapsed="false">
      <c r="A30" s="10" t="s">
        <v>75</v>
      </c>
    </row>
    <row r="31" customFormat="false" ht="15" hidden="false" customHeight="false" outlineLevel="0" collapsed="false">
      <c r="A31" s="21" t="s">
        <v>76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52</v>
      </c>
      <c r="B32" s="4" t="s">
        <v>53</v>
      </c>
      <c r="C32" s="4" t="s">
        <v>54</v>
      </c>
      <c r="D32" s="4" t="s">
        <v>55</v>
      </c>
      <c r="E32" s="4" t="s">
        <v>56</v>
      </c>
      <c r="F32" s="4" t="s">
        <v>57</v>
      </c>
      <c r="G32" s="4" t="s">
        <v>77</v>
      </c>
      <c r="H32" s="4" t="s">
        <v>78</v>
      </c>
      <c r="I32" s="4" t="s">
        <v>60</v>
      </c>
      <c r="J32" s="4" t="s">
        <v>61</v>
      </c>
      <c r="K32" s="4" t="s">
        <v>62</v>
      </c>
      <c r="L32" s="4" t="s">
        <v>63</v>
      </c>
    </row>
    <row r="33" customFormat="false" ht="15" hidden="false" customHeight="false" outlineLevel="0" collapsed="false">
      <c r="A33" s="23" t="n">
        <v>1</v>
      </c>
      <c r="B33" s="23" t="s">
        <v>19</v>
      </c>
      <c r="C33" s="23" t="s">
        <v>18</v>
      </c>
      <c r="D33" s="24" t="n">
        <v>302676.39</v>
      </c>
      <c r="E33" s="24" t="n">
        <v>0</v>
      </c>
      <c r="F33" s="24" t="n">
        <v>0</v>
      </c>
      <c r="G33" s="24" t="n">
        <v>25223.07</v>
      </c>
      <c r="H33" s="24" t="n">
        <v>11006.44</v>
      </c>
      <c r="I33" s="24" t="n">
        <f aca="false">G33+H33</f>
        <v>36229.51</v>
      </c>
      <c r="J33" s="24" t="n">
        <f aca="false">D33-I33</f>
        <v>266446.88</v>
      </c>
      <c r="K33" s="25" t="s">
        <v>64</v>
      </c>
      <c r="L33" s="25" t="s">
        <v>65</v>
      </c>
    </row>
    <row r="34" customFormat="false" ht="15" hidden="false" customHeight="false" outlineLevel="0" collapsed="false">
      <c r="A34" s="23" t="n">
        <v>2</v>
      </c>
      <c r="B34" s="23" t="s">
        <v>20</v>
      </c>
      <c r="C34" s="23" t="s">
        <v>18</v>
      </c>
      <c r="D34" s="24" t="n">
        <v>32982.17</v>
      </c>
      <c r="E34" s="24" t="n">
        <v>0</v>
      </c>
      <c r="F34" s="24" t="n">
        <v>32982.17</v>
      </c>
      <c r="G34" s="24" t="n">
        <v>32982.17</v>
      </c>
      <c r="H34" s="24" t="n">
        <v>0</v>
      </c>
      <c r="I34" s="24" t="n">
        <f aca="false">G34+H34</f>
        <v>32982.17</v>
      </c>
      <c r="J34" s="24" t="n">
        <f aca="false">D34-I34</f>
        <v>0</v>
      </c>
      <c r="K34" s="25" t="s">
        <v>66</v>
      </c>
      <c r="L34" s="25" t="s">
        <v>67</v>
      </c>
    </row>
    <row r="35" customFormat="false" ht="15" hidden="false" customHeight="false" outlineLevel="0" collapsed="false">
      <c r="A35" s="23" t="n">
        <v>3</v>
      </c>
      <c r="B35" s="23" t="s">
        <v>21</v>
      </c>
      <c r="C35" s="23" t="s">
        <v>18</v>
      </c>
      <c r="D35" s="24" t="n">
        <v>61841.63</v>
      </c>
      <c r="E35" s="24" t="n">
        <v>0</v>
      </c>
      <c r="F35" s="24" t="n">
        <v>61841.63</v>
      </c>
      <c r="G35" s="24" t="n">
        <v>61841.63</v>
      </c>
      <c r="H35" s="24" t="n">
        <v>0</v>
      </c>
      <c r="I35" s="24" t="n">
        <f aca="false">G35+H35</f>
        <v>61841.63</v>
      </c>
      <c r="J35" s="24" t="n">
        <f aca="false">D35-I35</f>
        <v>0</v>
      </c>
      <c r="K35" s="25" t="s">
        <v>68</v>
      </c>
      <c r="L35" s="25" t="s">
        <v>69</v>
      </c>
    </row>
    <row r="36" customFormat="false" ht="15" hidden="false" customHeight="false" outlineLevel="0" collapsed="false">
      <c r="A36" s="26"/>
      <c r="B36" s="27" t="s">
        <v>22</v>
      </c>
      <c r="C36" s="26"/>
      <c r="D36" s="28" t="n">
        <f aca="false">SUM(D33:D35)</f>
        <v>397500.19</v>
      </c>
      <c r="E36" s="28" t="n">
        <f aca="false">SUM(E33:E35)</f>
        <v>0</v>
      </c>
      <c r="F36" s="28" t="n">
        <f aca="false">SUM(F33:F35)</f>
        <v>94823.8</v>
      </c>
      <c r="G36" s="28" t="n">
        <f aca="false">SUM(G33:G35)</f>
        <v>120046.87</v>
      </c>
      <c r="H36" s="28" t="n">
        <f aca="false">SUM(H33:H35)</f>
        <v>11006.44</v>
      </c>
      <c r="I36" s="28" t="n">
        <f aca="false">SUM(I33:I35)</f>
        <v>131053.31</v>
      </c>
      <c r="J36" s="28" t="n">
        <f aca="false">SUM(J33:J35)</f>
        <v>266446.88</v>
      </c>
      <c r="K36" s="26"/>
      <c r="L36" s="26"/>
    </row>
    <row r="38" customFormat="false" ht="15" hidden="false" customHeight="false" outlineLevel="0" collapsed="false">
      <c r="A38" s="21" t="s">
        <v>79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52</v>
      </c>
      <c r="B39" s="4" t="s">
        <v>53</v>
      </c>
      <c r="C39" s="4" t="s">
        <v>54</v>
      </c>
      <c r="D39" s="4" t="s">
        <v>55</v>
      </c>
      <c r="E39" s="4" t="s">
        <v>56</v>
      </c>
      <c r="F39" s="4" t="s">
        <v>57</v>
      </c>
      <c r="G39" s="4" t="s">
        <v>77</v>
      </c>
      <c r="H39" s="4" t="s">
        <v>78</v>
      </c>
      <c r="I39" s="4" t="s">
        <v>60</v>
      </c>
      <c r="J39" s="4" t="s">
        <v>61</v>
      </c>
      <c r="K39" s="4" t="s">
        <v>62</v>
      </c>
      <c r="L39" s="4" t="s">
        <v>63</v>
      </c>
    </row>
    <row r="40" customFormat="false" ht="15" hidden="false" customHeight="false" outlineLevel="0" collapsed="false">
      <c r="A40" s="23" t="n">
        <v>1</v>
      </c>
      <c r="B40" s="23" t="s">
        <v>33</v>
      </c>
      <c r="C40" s="23" t="s">
        <v>18</v>
      </c>
      <c r="D40" s="24" t="n">
        <v>83590.83</v>
      </c>
      <c r="E40" s="24" t="n">
        <v>0</v>
      </c>
      <c r="F40" s="24" t="n">
        <v>83590.83</v>
      </c>
      <c r="G40" s="24" t="n">
        <v>83590.83</v>
      </c>
      <c r="H40" s="24" t="n">
        <v>0</v>
      </c>
      <c r="I40" s="24" t="n">
        <f aca="false">G40+H40</f>
        <v>83590.83</v>
      </c>
      <c r="J40" s="24" t="n">
        <f aca="false">D40-I40</f>
        <v>0</v>
      </c>
      <c r="K40" s="25" t="s">
        <v>68</v>
      </c>
      <c r="L40" s="25" t="s">
        <v>69</v>
      </c>
    </row>
    <row r="41" customFormat="false" ht="15" hidden="false" customHeight="false" outlineLevel="0" collapsed="false">
      <c r="A41" s="23" t="n">
        <v>2</v>
      </c>
      <c r="B41" s="23" t="s">
        <v>26</v>
      </c>
      <c r="C41" s="23" t="s">
        <v>18</v>
      </c>
      <c r="D41" s="24" t="n">
        <v>219085.56</v>
      </c>
      <c r="E41" s="24" t="n">
        <v>0</v>
      </c>
      <c r="F41" s="24" t="n">
        <v>0</v>
      </c>
      <c r="G41" s="24" t="n">
        <v>18257.13</v>
      </c>
      <c r="H41" s="24" t="n">
        <v>7966.75</v>
      </c>
      <c r="I41" s="24" t="n">
        <f aca="false">G41+H41</f>
        <v>26223.88</v>
      </c>
      <c r="J41" s="24" t="n">
        <f aca="false">D41-I41</f>
        <v>192861.68</v>
      </c>
      <c r="K41" s="25" t="s">
        <v>64</v>
      </c>
      <c r="L41" s="25" t="s">
        <v>65</v>
      </c>
    </row>
    <row r="42" customFormat="false" ht="15" hidden="false" customHeight="false" outlineLevel="0" collapsed="false">
      <c r="A42" s="23" t="n">
        <v>3</v>
      </c>
      <c r="B42" s="23" t="s">
        <v>34</v>
      </c>
      <c r="C42" s="23" t="s">
        <v>18</v>
      </c>
      <c r="D42" s="24" t="n">
        <v>9108.76</v>
      </c>
      <c r="E42" s="24" t="n">
        <v>0</v>
      </c>
      <c r="F42" s="24" t="n">
        <v>9108.76</v>
      </c>
      <c r="G42" s="24" t="n">
        <v>9108.76</v>
      </c>
      <c r="H42" s="24" t="n">
        <v>0</v>
      </c>
      <c r="I42" s="24" t="n">
        <f aca="false">G42+H42</f>
        <v>9108.76</v>
      </c>
      <c r="J42" s="24" t="n">
        <f aca="false">D42-I42</f>
        <v>0</v>
      </c>
      <c r="K42" s="25" t="s">
        <v>68</v>
      </c>
      <c r="L42" s="25" t="s">
        <v>69</v>
      </c>
    </row>
    <row r="43" customFormat="false" ht="15" hidden="false" customHeight="false" outlineLevel="0" collapsed="false">
      <c r="A43" s="23" t="n">
        <v>4</v>
      </c>
      <c r="B43" s="23" t="s">
        <v>26</v>
      </c>
      <c r="C43" s="23" t="s">
        <v>18</v>
      </c>
      <c r="D43" s="24" t="n">
        <v>23873.41</v>
      </c>
      <c r="E43" s="24" t="n">
        <v>0</v>
      </c>
      <c r="F43" s="24" t="n">
        <v>0</v>
      </c>
      <c r="G43" s="24" t="n">
        <v>1989.44</v>
      </c>
      <c r="H43" s="24" t="n">
        <v>868.12</v>
      </c>
      <c r="I43" s="24" t="n">
        <f aca="false">G43+H43</f>
        <v>2857.56</v>
      </c>
      <c r="J43" s="24" t="n">
        <f aca="false">D43-I43</f>
        <v>21015.85</v>
      </c>
      <c r="K43" s="25" t="s">
        <v>64</v>
      </c>
      <c r="L43" s="25" t="s">
        <v>65</v>
      </c>
    </row>
    <row r="44" customFormat="false" ht="15" hidden="false" customHeight="false" outlineLevel="0" collapsed="false">
      <c r="A44" s="23" t="n">
        <v>5</v>
      </c>
      <c r="B44" s="23" t="s">
        <v>35</v>
      </c>
      <c r="C44" s="23" t="s">
        <v>18</v>
      </c>
      <c r="D44" s="24" t="n">
        <v>17078.94</v>
      </c>
      <c r="E44" s="24" t="n">
        <v>0</v>
      </c>
      <c r="F44" s="24" t="n">
        <v>17078.94</v>
      </c>
      <c r="G44" s="24" t="n">
        <v>17078.94</v>
      </c>
      <c r="H44" s="24" t="n">
        <v>0</v>
      </c>
      <c r="I44" s="24" t="n">
        <f aca="false">G44+H44</f>
        <v>17078.94</v>
      </c>
      <c r="J44" s="24" t="n">
        <f aca="false">D44-I44</f>
        <v>0</v>
      </c>
      <c r="K44" s="25" t="s">
        <v>68</v>
      </c>
      <c r="L44" s="25" t="s">
        <v>69</v>
      </c>
    </row>
    <row r="45" customFormat="false" ht="15" hidden="false" customHeight="false" outlineLevel="0" collapsed="false">
      <c r="A45" s="23" t="n">
        <v>6</v>
      </c>
      <c r="B45" s="23" t="s">
        <v>32</v>
      </c>
      <c r="C45" s="23" t="s">
        <v>18</v>
      </c>
      <c r="D45" s="24" t="n">
        <v>44762.69</v>
      </c>
      <c r="E45" s="24" t="n">
        <v>0</v>
      </c>
      <c r="F45" s="24" t="n">
        <v>0</v>
      </c>
      <c r="G45" s="24" t="n">
        <v>3730.22</v>
      </c>
      <c r="H45" s="24" t="n">
        <v>1627.73</v>
      </c>
      <c r="I45" s="24" t="n">
        <f aca="false">G45+H45</f>
        <v>5357.95</v>
      </c>
      <c r="J45" s="24" t="n">
        <f aca="false">D45-I45</f>
        <v>39404.74</v>
      </c>
      <c r="K45" s="25" t="s">
        <v>64</v>
      </c>
      <c r="L45" s="25" t="s">
        <v>65</v>
      </c>
    </row>
    <row r="46" customFormat="false" ht="15" hidden="false" customHeight="false" outlineLevel="0" collapsed="false">
      <c r="A46" s="26"/>
      <c r="B46" s="27" t="s">
        <v>22</v>
      </c>
      <c r="C46" s="26"/>
      <c r="D46" s="28" t="n">
        <f aca="false">SUM(D40:D45)</f>
        <v>397500.19</v>
      </c>
      <c r="E46" s="28" t="n">
        <f aca="false">SUM(E40:E45)</f>
        <v>0</v>
      </c>
      <c r="F46" s="28" t="n">
        <f aca="false">SUM(F40:F45)</f>
        <v>109778.53</v>
      </c>
      <c r="G46" s="28" t="n">
        <f aca="false">SUM(G40:G45)</f>
        <v>133755.32</v>
      </c>
      <c r="H46" s="28" t="n">
        <f aca="false">SUM(H40:H45)</f>
        <v>10462.6</v>
      </c>
      <c r="I46" s="28" t="n">
        <f aca="false">SUM(I40:I45)</f>
        <v>144217.92</v>
      </c>
      <c r="J46" s="28" t="n">
        <f aca="false">SUM(J40:J45)</f>
        <v>253282.27</v>
      </c>
      <c r="K46" s="26"/>
      <c r="L46" s="26"/>
    </row>
    <row r="48" customFormat="false" ht="15" hidden="false" customHeight="false" outlineLevel="0" collapsed="false">
      <c r="B48" s="18" t="s">
        <v>80</v>
      </c>
    </row>
    <row r="49" customFormat="false" ht="15" hidden="false" customHeight="false" outlineLevel="0" collapsed="false">
      <c r="B49" s="5" t="s">
        <v>73</v>
      </c>
      <c r="D49" s="6" t="n">
        <f aca="false">I36</f>
        <v>131053.31</v>
      </c>
    </row>
    <row r="50" customFormat="false" ht="15" hidden="false" customHeight="false" outlineLevel="0" collapsed="false">
      <c r="B50" s="5" t="s">
        <v>74</v>
      </c>
      <c r="D50" s="6" t="n">
        <f aca="false">I46</f>
        <v>144217.92</v>
      </c>
    </row>
    <row r="51" customFormat="false" ht="15" hidden="false" customHeight="false" outlineLevel="0" collapsed="false">
      <c r="B51" s="11" t="s">
        <v>80</v>
      </c>
      <c r="D51" s="29" t="n">
        <f aca="false">D49-D50</f>
        <v>-13164.61</v>
      </c>
    </row>
    <row r="53" customFormat="false" ht="15" hidden="false" customHeight="false" outlineLevel="0" collapsed="false">
      <c r="A53" s="10" t="s">
        <v>81</v>
      </c>
    </row>
    <row r="54" customFormat="false" ht="15" hidden="false" customHeight="false" outlineLevel="0" collapsed="false">
      <c r="B54" s="11" t="s">
        <v>115</v>
      </c>
      <c r="D54" s="12" t="n">
        <f aca="false">D94</f>
        <v>397500.19</v>
      </c>
    </row>
    <row r="55" customFormat="false" ht="15" hidden="false" customHeight="false" outlineLevel="0" collapsed="false">
      <c r="B55" s="5" t="s">
        <v>116</v>
      </c>
      <c r="D55" s="6" t="n">
        <f aca="false">F94</f>
        <v>109778.53</v>
      </c>
    </row>
    <row r="56" customFormat="false" ht="15" hidden="false" customHeight="false" outlineLevel="0" collapsed="false">
      <c r="B56" s="30" t="s">
        <v>84</v>
      </c>
      <c r="D56" s="31" t="n">
        <f aca="false">F95</f>
        <v>0.276172270508852</v>
      </c>
    </row>
    <row r="57" customFormat="false" ht="15" hidden="false" customHeight="false" outlineLevel="0" collapsed="false">
      <c r="B57" s="5" t="s">
        <v>117</v>
      </c>
      <c r="D57" s="6" t="n">
        <f aca="false">H94</f>
        <v>287721.66</v>
      </c>
    </row>
    <row r="58" customFormat="false" ht="15" hidden="false" customHeight="false" outlineLevel="0" collapsed="false">
      <c r="B58" s="30" t="s">
        <v>84</v>
      </c>
      <c r="D58" s="31" t="n">
        <f aca="false">H95</f>
        <v>0.723827729491148</v>
      </c>
    </row>
    <row r="60" customFormat="false" ht="15" hidden="false" customHeight="false" outlineLevel="0" collapsed="false">
      <c r="A60" s="10" t="s">
        <v>87</v>
      </c>
    </row>
    <row r="61" customFormat="false" ht="15" hidden="false" customHeight="false" outlineLevel="0" collapsed="false">
      <c r="B61" s="4" t="s">
        <v>88</v>
      </c>
      <c r="D61" s="4" t="s">
        <v>55</v>
      </c>
      <c r="F61" s="4" t="s">
        <v>118</v>
      </c>
      <c r="H61" s="4" t="s">
        <v>91</v>
      </c>
    </row>
    <row r="62" customFormat="false" ht="15" hidden="false" customHeight="false" outlineLevel="0" collapsed="false">
      <c r="B62" s="32" t="s">
        <v>119</v>
      </c>
    </row>
    <row r="63" customFormat="false" ht="15" hidden="false" customHeight="false" outlineLevel="0" collapsed="false">
      <c r="B63" s="5" t="s">
        <v>120</v>
      </c>
      <c r="D63" s="33" t="n">
        <f aca="false">SUM(F63:H63)</f>
        <v>26445.19</v>
      </c>
      <c r="F63" s="33" t="n">
        <v>26445.19</v>
      </c>
    </row>
    <row r="64" customFormat="false" ht="15" hidden="false" customHeight="false" outlineLevel="0" collapsed="false">
      <c r="B64" s="5" t="s">
        <v>121</v>
      </c>
      <c r="D64" s="33" t="n">
        <f aca="false">SUM(F64:H64)</f>
        <v>4635.69</v>
      </c>
      <c r="F64" s="33" t="n">
        <v>4635.69</v>
      </c>
    </row>
    <row r="65" customFormat="false" ht="15" hidden="false" customHeight="false" outlineLevel="0" collapsed="false">
      <c r="B65" s="5" t="s">
        <v>151</v>
      </c>
      <c r="D65" s="33" t="n">
        <f aca="false">SUM(F65:H65)</f>
        <v>9118.09</v>
      </c>
      <c r="F65" s="33" t="n">
        <v>9118.09</v>
      </c>
    </row>
    <row r="66" customFormat="false" ht="15" hidden="false" customHeight="false" outlineLevel="0" collapsed="false">
      <c r="B66" s="5" t="s">
        <v>122</v>
      </c>
      <c r="D66" s="33" t="n">
        <f aca="false">SUM(F66:H66)</f>
        <v>17166.07</v>
      </c>
      <c r="F66" s="33" t="n">
        <v>17166.07</v>
      </c>
    </row>
    <row r="67" customFormat="false" ht="15" hidden="false" customHeight="false" outlineLevel="0" collapsed="false">
      <c r="B67" s="5" t="s">
        <v>123</v>
      </c>
      <c r="D67" s="33" t="n">
        <f aca="false">SUM(F67:H67)</f>
        <v>2842.52</v>
      </c>
      <c r="F67" s="33" t="n">
        <v>2842.52</v>
      </c>
    </row>
    <row r="68" customFormat="false" ht="15" hidden="false" customHeight="false" outlineLevel="0" collapsed="false">
      <c r="B68" s="5" t="s">
        <v>124</v>
      </c>
      <c r="D68" s="33" t="n">
        <f aca="false">SUM(F68:H68)</f>
        <v>2418.44</v>
      </c>
      <c r="F68" s="33" t="n">
        <v>2418.44</v>
      </c>
    </row>
    <row r="69" customFormat="false" ht="15" hidden="false" customHeight="false" outlineLevel="0" collapsed="false">
      <c r="B69" s="5" t="s">
        <v>125</v>
      </c>
      <c r="D69" s="33" t="n">
        <f aca="false">SUM(F69:H69)</f>
        <v>718.3</v>
      </c>
      <c r="F69" s="33" t="n">
        <v>718.3</v>
      </c>
    </row>
    <row r="70" customFormat="false" ht="15" hidden="false" customHeight="false" outlineLevel="0" collapsed="false">
      <c r="B70" s="5" t="s">
        <v>126</v>
      </c>
      <c r="D70" s="33" t="n">
        <f aca="false">SUM(F70:H70)</f>
        <v>705.03</v>
      </c>
      <c r="F70" s="33" t="n">
        <v>705.03</v>
      </c>
    </row>
    <row r="71" customFormat="false" ht="15" hidden="false" customHeight="false" outlineLevel="0" collapsed="false">
      <c r="B71" s="5" t="s">
        <v>127</v>
      </c>
      <c r="D71" s="33" t="n">
        <f aca="false">SUM(F71:H71)</f>
        <v>12363.8</v>
      </c>
      <c r="F71" s="33" t="n">
        <v>12363.8</v>
      </c>
    </row>
    <row r="72" customFormat="false" ht="15" hidden="false" customHeight="false" outlineLevel="0" collapsed="false">
      <c r="B72" s="5" t="s">
        <v>128</v>
      </c>
      <c r="D72" s="33" t="n">
        <f aca="false">SUM(F72:H72)</f>
        <v>2600.58</v>
      </c>
      <c r="F72" s="33" t="n">
        <v>2600.58</v>
      </c>
    </row>
    <row r="73" customFormat="false" ht="15" hidden="false" customHeight="false" outlineLevel="0" collapsed="false">
      <c r="B73" s="5" t="s">
        <v>129</v>
      </c>
      <c r="D73" s="33" t="n">
        <f aca="false">SUM(F73:H73)</f>
        <v>13431.92</v>
      </c>
      <c r="F73" s="33" t="n">
        <v>13431.92</v>
      </c>
    </row>
    <row r="74" customFormat="false" ht="15" hidden="false" customHeight="false" outlineLevel="0" collapsed="false">
      <c r="B74" s="5" t="s">
        <v>130</v>
      </c>
      <c r="D74" s="33" t="n">
        <f aca="false">SUM(F74:H74)</f>
        <v>1140.5</v>
      </c>
      <c r="F74" s="33" t="n">
        <v>1140.5</v>
      </c>
    </row>
    <row r="75" customFormat="false" ht="15" hidden="false" customHeight="false" outlineLevel="0" collapsed="false">
      <c r="B75" s="5" t="s">
        <v>131</v>
      </c>
      <c r="D75" s="33" t="n">
        <f aca="false">SUM(F75:H75)</f>
        <v>1360.86</v>
      </c>
      <c r="F75" s="33" t="n">
        <v>1360.86</v>
      </c>
    </row>
    <row r="76" customFormat="false" ht="15" hidden="false" customHeight="false" outlineLevel="0" collapsed="false">
      <c r="B76" s="5" t="s">
        <v>132</v>
      </c>
      <c r="D76" s="33" t="n">
        <f aca="false">SUM(F76:H76)</f>
        <v>14831.54</v>
      </c>
      <c r="F76" s="33" t="n">
        <v>14831.54</v>
      </c>
    </row>
    <row r="77" customFormat="false" ht="15" hidden="false" customHeight="false" outlineLevel="0" collapsed="false">
      <c r="B77" s="32" t="s">
        <v>133</v>
      </c>
    </row>
    <row r="78" customFormat="false" ht="15" hidden="false" customHeight="false" outlineLevel="0" collapsed="false">
      <c r="B78" s="5" t="s">
        <v>134</v>
      </c>
      <c r="D78" s="33" t="n">
        <f aca="false">SUM(F78:H78)</f>
        <v>19166.81</v>
      </c>
      <c r="H78" s="33" t="n">
        <v>19166.81</v>
      </c>
    </row>
    <row r="79" customFormat="false" ht="15" hidden="false" customHeight="false" outlineLevel="0" collapsed="false">
      <c r="B79" s="5" t="s">
        <v>135</v>
      </c>
      <c r="D79" s="33" t="n">
        <f aca="false">SUM(F79:H79)</f>
        <v>26894.18</v>
      </c>
      <c r="H79" s="33" t="n">
        <v>26894.18</v>
      </c>
    </row>
    <row r="80" customFormat="false" ht="15" hidden="false" customHeight="false" outlineLevel="0" collapsed="false">
      <c r="B80" s="5" t="s">
        <v>136</v>
      </c>
      <c r="D80" s="33" t="n">
        <f aca="false">SUM(F80:H80)</f>
        <v>19273.71</v>
      </c>
      <c r="H80" s="33" t="n">
        <v>19273.71</v>
      </c>
    </row>
    <row r="81" customFormat="false" ht="15" hidden="false" customHeight="false" outlineLevel="0" collapsed="false">
      <c r="B81" s="5" t="s">
        <v>137</v>
      </c>
      <c r="D81" s="33" t="n">
        <f aca="false">SUM(F81:H81)</f>
        <v>24003.39</v>
      </c>
      <c r="H81" s="33" t="n">
        <v>24003.39</v>
      </c>
    </row>
    <row r="82" customFormat="false" ht="15" hidden="false" customHeight="false" outlineLevel="0" collapsed="false">
      <c r="B82" s="5" t="s">
        <v>138</v>
      </c>
      <c r="D82" s="33" t="n">
        <f aca="false">SUM(F82:H82)</f>
        <v>23233.4</v>
      </c>
      <c r="H82" s="33" t="n">
        <v>23233.4</v>
      </c>
    </row>
    <row r="83" customFormat="false" ht="15" hidden="false" customHeight="false" outlineLevel="0" collapsed="false">
      <c r="B83" s="5" t="s">
        <v>139</v>
      </c>
      <c r="D83" s="33" t="n">
        <f aca="false">SUM(F83:H83)</f>
        <v>8832.92</v>
      </c>
      <c r="H83" s="33" t="n">
        <v>8832.92</v>
      </c>
    </row>
    <row r="84" customFormat="false" ht="15" hidden="false" customHeight="false" outlineLevel="0" collapsed="false">
      <c r="B84" s="5" t="s">
        <v>140</v>
      </c>
      <c r="D84" s="33" t="n">
        <f aca="false">SUM(F84:H84)</f>
        <v>17315.31</v>
      </c>
      <c r="H84" s="33" t="n">
        <v>17315.31</v>
      </c>
    </row>
    <row r="85" customFormat="false" ht="15" hidden="false" customHeight="false" outlineLevel="0" collapsed="false">
      <c r="B85" s="5" t="s">
        <v>141</v>
      </c>
      <c r="D85" s="33" t="n">
        <f aca="false">SUM(F85:H85)</f>
        <v>10659.46</v>
      </c>
      <c r="H85" s="33" t="n">
        <v>10659.46</v>
      </c>
    </row>
    <row r="86" customFormat="false" ht="15" hidden="false" customHeight="false" outlineLevel="0" collapsed="false">
      <c r="B86" s="5" t="s">
        <v>142</v>
      </c>
      <c r="D86" s="33" t="n">
        <f aca="false">SUM(F86:H86)</f>
        <v>12873.87</v>
      </c>
      <c r="H86" s="33" t="n">
        <v>12873.87</v>
      </c>
    </row>
    <row r="87" customFormat="false" ht="15" hidden="false" customHeight="false" outlineLevel="0" collapsed="false">
      <c r="B87" s="5" t="s">
        <v>143</v>
      </c>
      <c r="D87" s="33" t="n">
        <f aca="false">SUM(F87:H87)</f>
        <v>29302.11</v>
      </c>
      <c r="H87" s="33" t="n">
        <v>29302.11</v>
      </c>
    </row>
    <row r="88" customFormat="false" ht="15" hidden="false" customHeight="false" outlineLevel="0" collapsed="false">
      <c r="B88" s="5" t="s">
        <v>144</v>
      </c>
      <c r="D88" s="33" t="n">
        <f aca="false">SUM(F88:H88)</f>
        <v>11976.41</v>
      </c>
      <c r="H88" s="33" t="n">
        <v>11976.41</v>
      </c>
    </row>
    <row r="89" customFormat="false" ht="15" hidden="false" customHeight="false" outlineLevel="0" collapsed="false">
      <c r="B89" s="5" t="s">
        <v>145</v>
      </c>
      <c r="D89" s="33" t="n">
        <f aca="false">SUM(F89:H89)</f>
        <v>1737.32</v>
      </c>
      <c r="H89" s="33" t="n">
        <v>1737.32</v>
      </c>
    </row>
    <row r="90" customFormat="false" ht="15" hidden="false" customHeight="false" outlineLevel="0" collapsed="false">
      <c r="B90" s="5" t="s">
        <v>146</v>
      </c>
      <c r="D90" s="33" t="n">
        <f aca="false">SUM(F90:H90)</f>
        <v>63061.18</v>
      </c>
      <c r="H90" s="33" t="n">
        <v>63061.18</v>
      </c>
    </row>
    <row r="91" customFormat="false" ht="15" hidden="false" customHeight="false" outlineLevel="0" collapsed="false">
      <c r="B91" s="5" t="s">
        <v>147</v>
      </c>
      <c r="D91" s="33" t="n">
        <f aca="false">SUM(F91:H91)</f>
        <v>10815.9</v>
      </c>
      <c r="H91" s="33" t="n">
        <v>10815.9</v>
      </c>
    </row>
    <row r="92" customFormat="false" ht="15" hidden="false" customHeight="false" outlineLevel="0" collapsed="false">
      <c r="B92" s="5" t="s">
        <v>148</v>
      </c>
      <c r="D92" s="33" t="n">
        <f aca="false">SUM(F92:H92)</f>
        <v>5272.42</v>
      </c>
      <c r="H92" s="33" t="n">
        <v>5272.42</v>
      </c>
    </row>
    <row r="93" customFormat="false" ht="15" hidden="false" customHeight="false" outlineLevel="0" collapsed="false">
      <c r="B93" s="5" t="s">
        <v>149</v>
      </c>
      <c r="D93" s="33" t="n">
        <f aca="false">SUM(F93:H93)</f>
        <v>3303.27</v>
      </c>
      <c r="H93" s="33" t="n">
        <v>3303.27</v>
      </c>
    </row>
    <row r="94" customFormat="false" ht="15" hidden="false" customHeight="false" outlineLevel="0" collapsed="false">
      <c r="B94" s="11" t="s">
        <v>115</v>
      </c>
      <c r="D94" s="34" t="n">
        <f aca="false">SUM(D62:D93)</f>
        <v>397500.19</v>
      </c>
      <c r="F94" s="34" t="n">
        <f aca="false">SUM(F62:F93)</f>
        <v>109778.53</v>
      </c>
      <c r="H94" s="34" t="n">
        <f aca="false">SUM(H62:H93)</f>
        <v>287721.66</v>
      </c>
    </row>
    <row r="95" customFormat="false" ht="15" hidden="false" customHeight="false" outlineLevel="0" collapsed="false">
      <c r="B95" s="30" t="s">
        <v>84</v>
      </c>
      <c r="F95" s="31" t="n">
        <f aca="false">F94/D94</f>
        <v>0.276172270508852</v>
      </c>
      <c r="H95" s="31" t="n">
        <f aca="false">H94/D94</f>
        <v>0.723827729491148</v>
      </c>
    </row>
    <row r="97" customFormat="false" ht="15" hidden="false" customHeight="false" outlineLevel="0" collapsed="false">
      <c r="A97" s="10" t="s">
        <v>110</v>
      </c>
    </row>
    <row r="98" customFormat="false" ht="15" hidden="false" customHeight="false" outlineLevel="0" collapsed="false">
      <c r="B98" s="4" t="s">
        <v>111</v>
      </c>
      <c r="D98" s="4" t="s">
        <v>55</v>
      </c>
      <c r="F98" s="4" t="s">
        <v>118</v>
      </c>
      <c r="H98" s="4" t="s">
        <v>91</v>
      </c>
    </row>
    <row r="99" customFormat="false" ht="15" hidden="false" customHeight="false" outlineLevel="0" collapsed="false">
      <c r="B99" s="5" t="str">
        <f aca="false">'Bldg 2'!B17</f>
        <v>2-Building-5yr</v>
      </c>
      <c r="D99" s="33" t="n">
        <f aca="false">SUM(F99:H99)</f>
        <v>83590.83</v>
      </c>
      <c r="F99" s="33" t="n">
        <f aca="false">'Bldg 2'!D17</f>
        <v>83590.83</v>
      </c>
    </row>
    <row r="100" customFormat="false" ht="15" hidden="false" customHeight="false" outlineLevel="0" collapsed="false">
      <c r="B100" s="5" t="str">
        <f aca="false">'Bldg 2'!B18</f>
        <v>2-Building-27.5yr</v>
      </c>
      <c r="D100" s="33" t="n">
        <f aca="false">SUM(F100:H100)</f>
        <v>219085.56</v>
      </c>
      <c r="H100" s="33" t="n">
        <f aca="false">'Bldg 2'!D18</f>
        <v>219085.56</v>
      </c>
    </row>
    <row r="101" customFormat="false" ht="15" hidden="false" customHeight="false" outlineLevel="0" collapsed="false">
      <c r="B101" s="5" t="str">
        <f aca="false">'Bldg 2'!B19</f>
        <v>3-Land Improvements-5yr</v>
      </c>
      <c r="D101" s="33" t="n">
        <f aca="false">SUM(F101:H101)</f>
        <v>9108.76</v>
      </c>
      <c r="F101" s="33" t="n">
        <f aca="false">'Bldg 2'!D19</f>
        <v>9108.76</v>
      </c>
    </row>
    <row r="102" customFormat="false" ht="15" hidden="false" customHeight="false" outlineLevel="0" collapsed="false">
      <c r="B102" s="5" t="str">
        <f aca="false">'Bldg 2'!B20</f>
        <v>2-Building-27.5yr</v>
      </c>
      <c r="D102" s="33" t="n">
        <f aca="false">SUM(F102:H102)</f>
        <v>23873.41</v>
      </c>
      <c r="H102" s="33" t="n">
        <f aca="false">'Bldg 2'!D20</f>
        <v>23873.41</v>
      </c>
    </row>
    <row r="103" customFormat="false" ht="15" hidden="false" customHeight="false" outlineLevel="0" collapsed="false">
      <c r="B103" s="5" t="str">
        <f aca="false">'Bldg 2'!B21</f>
        <v>4-Equipment-5yr</v>
      </c>
      <c r="D103" s="33" t="n">
        <f aca="false">SUM(F103:H103)</f>
        <v>17078.94</v>
      </c>
      <c r="F103" s="33" t="n">
        <f aca="false">'Bldg 2'!D21</f>
        <v>17078.94</v>
      </c>
    </row>
    <row r="104" customFormat="false" ht="15" hidden="false" customHeight="false" outlineLevel="0" collapsed="false">
      <c r="B104" s="5" t="str">
        <f aca="false">'Bldg 2'!B22</f>
        <v>4-Equipment-27.5yr</v>
      </c>
      <c r="D104" s="33" t="n">
        <f aca="false">SUM(F104:H104)</f>
        <v>44762.69</v>
      </c>
      <c r="H104" s="33" t="n">
        <f aca="false">'Bldg 2'!D22</f>
        <v>44762.69</v>
      </c>
    </row>
    <row r="105" customFormat="false" ht="15" hidden="false" customHeight="false" outlineLevel="0" collapsed="false">
      <c r="B105" s="11" t="s">
        <v>112</v>
      </c>
      <c r="D105" s="34" t="n">
        <f aca="false">SUM(D99:D104)</f>
        <v>397500.19</v>
      </c>
      <c r="F105" s="34" t="n">
        <f aca="false">SUM(F99:F104)</f>
        <v>109778.53</v>
      </c>
      <c r="H105" s="34" t="n">
        <f aca="false">SUM(H99:H104)</f>
        <v>287721.66</v>
      </c>
    </row>
    <row r="106" customFormat="false" ht="15" hidden="false" customHeight="false" outlineLevel="0" collapsed="false">
      <c r="B106" s="16" t="s">
        <v>113</v>
      </c>
      <c r="D106" s="17" t="n">
        <f aca="false">D105-D94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152</v>
      </c>
    </row>
    <row r="5" customFormat="false" ht="15" hidden="false" customHeight="false" outlineLevel="0" collapsed="false">
      <c r="A5" s="16" t="s">
        <v>49</v>
      </c>
    </row>
    <row r="7" customFormat="false" ht="15" hidden="false" customHeight="false" outlineLevel="0" collapsed="false">
      <c r="A7" s="10" t="s">
        <v>50</v>
      </c>
    </row>
    <row r="8" customFormat="false" ht="15" hidden="false" customHeight="false" outlineLevel="0" collapsed="false">
      <c r="A8" s="21" t="s">
        <v>51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18</v>
      </c>
      <c r="D10" s="24" t="n">
        <v>383408.73</v>
      </c>
      <c r="E10" s="24" t="n">
        <v>0</v>
      </c>
      <c r="F10" s="24" t="n">
        <v>0</v>
      </c>
      <c r="G10" s="24" t="n">
        <v>31950.77</v>
      </c>
      <c r="H10" s="24" t="n">
        <v>13942.17</v>
      </c>
      <c r="I10" s="24" t="n">
        <f aca="false">G10+H10</f>
        <v>45892.94</v>
      </c>
      <c r="J10" s="24" t="n">
        <f aca="false">D10-I10</f>
        <v>337515.79</v>
      </c>
      <c r="K10" s="25" t="s">
        <v>64</v>
      </c>
      <c r="L10" s="25" t="s">
        <v>65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18</v>
      </c>
      <c r="D11" s="24" t="n">
        <v>41779.44</v>
      </c>
      <c r="E11" s="24" t="n">
        <v>0</v>
      </c>
      <c r="F11" s="24" t="n">
        <v>41779.44</v>
      </c>
      <c r="G11" s="24" t="n">
        <v>41779.44</v>
      </c>
      <c r="H11" s="24" t="n">
        <v>0</v>
      </c>
      <c r="I11" s="24" t="n">
        <f aca="false">G11+H11</f>
        <v>41779.44</v>
      </c>
      <c r="J11" s="24" t="n">
        <f aca="false">D11-I11</f>
        <v>0</v>
      </c>
      <c r="K11" s="25" t="s">
        <v>66</v>
      </c>
      <c r="L11" s="25" t="s">
        <v>67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18</v>
      </c>
      <c r="D12" s="24" t="n">
        <v>78336.54</v>
      </c>
      <c r="E12" s="24" t="n">
        <v>0</v>
      </c>
      <c r="F12" s="24" t="n">
        <v>78336.54</v>
      </c>
      <c r="G12" s="24" t="n">
        <v>78336.54</v>
      </c>
      <c r="H12" s="24" t="n">
        <v>0</v>
      </c>
      <c r="I12" s="24" t="n">
        <f aca="false">G12+H12</f>
        <v>78336.54</v>
      </c>
      <c r="J12" s="24" t="n">
        <f aca="false">D12-I12</f>
        <v>0</v>
      </c>
      <c r="K12" s="25" t="s">
        <v>68</v>
      </c>
      <c r="L12" s="25" t="s">
        <v>69</v>
      </c>
    </row>
    <row r="13" customFormat="false" ht="15" hidden="false" customHeight="false" outlineLevel="0" collapsed="false">
      <c r="A13" s="26"/>
      <c r="B13" s="27" t="s">
        <v>22</v>
      </c>
      <c r="C13" s="26"/>
      <c r="D13" s="28" t="n">
        <f aca="false">SUM(D10:D12)</f>
        <v>503524.71</v>
      </c>
      <c r="E13" s="28" t="n">
        <f aca="false">SUM(E10:E12)</f>
        <v>0</v>
      </c>
      <c r="F13" s="28" t="n">
        <f aca="false">SUM(F10:F12)</f>
        <v>120115.98</v>
      </c>
      <c r="G13" s="28" t="n">
        <f aca="false">SUM(G10:G12)</f>
        <v>152066.75</v>
      </c>
      <c r="H13" s="28" t="n">
        <f aca="false">SUM(H10:H12)</f>
        <v>13942.17</v>
      </c>
      <c r="I13" s="28" t="n">
        <f aca="false">SUM(I10:I12)</f>
        <v>166008.92</v>
      </c>
      <c r="J13" s="28" t="n">
        <f aca="false">SUM(J10:J12)</f>
        <v>337515.79</v>
      </c>
      <c r="K13" s="26"/>
      <c r="L13" s="26"/>
    </row>
    <row r="15" customFormat="false" ht="15" hidden="false" customHeight="false" outlineLevel="0" collapsed="false">
      <c r="A15" s="21" t="s">
        <v>70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52</v>
      </c>
      <c r="B16" s="4" t="s">
        <v>53</v>
      </c>
      <c r="C16" s="4" t="s">
        <v>54</v>
      </c>
      <c r="D16" s="4" t="s">
        <v>55</v>
      </c>
      <c r="E16" s="4" t="s">
        <v>56</v>
      </c>
      <c r="F16" s="4" t="s">
        <v>57</v>
      </c>
      <c r="G16" s="4" t="s">
        <v>58</v>
      </c>
      <c r="H16" s="4" t="s">
        <v>59</v>
      </c>
      <c r="I16" s="4" t="s">
        <v>60</v>
      </c>
      <c r="J16" s="4" t="s">
        <v>61</v>
      </c>
      <c r="K16" s="4" t="s">
        <v>62</v>
      </c>
      <c r="L16" s="4" t="s">
        <v>63</v>
      </c>
    </row>
    <row r="17" customFormat="false" ht="15" hidden="false" customHeight="false" outlineLevel="0" collapsed="false">
      <c r="A17" s="23" t="n">
        <v>1</v>
      </c>
      <c r="B17" s="23" t="s">
        <v>33</v>
      </c>
      <c r="C17" s="23" t="s">
        <v>18</v>
      </c>
      <c r="D17" s="24" t="n">
        <v>95762.44</v>
      </c>
      <c r="E17" s="24" t="n">
        <v>0</v>
      </c>
      <c r="F17" s="24" t="n">
        <v>95762.44</v>
      </c>
      <c r="G17" s="24" t="n">
        <v>95762.44</v>
      </c>
      <c r="H17" s="24" t="n">
        <v>0</v>
      </c>
      <c r="I17" s="24" t="n">
        <f aca="false">G17+H17</f>
        <v>95762.44</v>
      </c>
      <c r="J17" s="24" t="n">
        <f aca="false">D17-I17</f>
        <v>0</v>
      </c>
      <c r="K17" s="25" t="s">
        <v>68</v>
      </c>
      <c r="L17" s="25" t="s">
        <v>69</v>
      </c>
    </row>
    <row r="18" customFormat="false" ht="15" hidden="false" customHeight="false" outlineLevel="0" collapsed="false">
      <c r="A18" s="23" t="n">
        <v>2</v>
      </c>
      <c r="B18" s="23" t="s">
        <v>26</v>
      </c>
      <c r="C18" s="23" t="s">
        <v>18</v>
      </c>
      <c r="D18" s="24" t="n">
        <v>287646.29</v>
      </c>
      <c r="E18" s="24" t="n">
        <v>0</v>
      </c>
      <c r="F18" s="24" t="n">
        <v>0</v>
      </c>
      <c r="G18" s="24" t="n">
        <v>23970.53</v>
      </c>
      <c r="H18" s="24" t="n">
        <v>10459.87</v>
      </c>
      <c r="I18" s="24" t="n">
        <f aca="false">G18+H18</f>
        <v>34430.4</v>
      </c>
      <c r="J18" s="24" t="n">
        <f aca="false">D18-I18</f>
        <v>253215.89</v>
      </c>
      <c r="K18" s="25" t="s">
        <v>64</v>
      </c>
      <c r="L18" s="25" t="s">
        <v>65</v>
      </c>
    </row>
    <row r="19" customFormat="false" ht="15" hidden="false" customHeight="false" outlineLevel="0" collapsed="false">
      <c r="A19" s="23" t="n">
        <v>3</v>
      </c>
      <c r="B19" s="23" t="s">
        <v>34</v>
      </c>
      <c r="C19" s="23" t="s">
        <v>18</v>
      </c>
      <c r="D19" s="24" t="n">
        <v>10435.08</v>
      </c>
      <c r="E19" s="24" t="n">
        <v>0</v>
      </c>
      <c r="F19" s="24" t="n">
        <v>10435.08</v>
      </c>
      <c r="G19" s="24" t="n">
        <v>10435.08</v>
      </c>
      <c r="H19" s="24" t="n">
        <v>0</v>
      </c>
      <c r="I19" s="24" t="n">
        <f aca="false">G19+H19</f>
        <v>10435.08</v>
      </c>
      <c r="J19" s="24" t="n">
        <f aca="false">D19-I19</f>
        <v>0</v>
      </c>
      <c r="K19" s="25" t="s">
        <v>68</v>
      </c>
      <c r="L19" s="25" t="s">
        <v>69</v>
      </c>
    </row>
    <row r="20" customFormat="false" ht="15" hidden="false" customHeight="false" outlineLevel="0" collapsed="false">
      <c r="A20" s="23" t="n">
        <v>4</v>
      </c>
      <c r="B20" s="23" t="s">
        <v>26</v>
      </c>
      <c r="C20" s="23" t="s">
        <v>18</v>
      </c>
      <c r="D20" s="24" t="n">
        <v>31344.36</v>
      </c>
      <c r="E20" s="24" t="n">
        <v>0</v>
      </c>
      <c r="F20" s="24" t="n">
        <v>0</v>
      </c>
      <c r="G20" s="24" t="n">
        <v>2612.02</v>
      </c>
      <c r="H20" s="24" t="n">
        <v>1139.79</v>
      </c>
      <c r="I20" s="24" t="n">
        <f aca="false">G20+H20</f>
        <v>3751.81</v>
      </c>
      <c r="J20" s="24" t="n">
        <f aca="false">D20-I20</f>
        <v>27592.55</v>
      </c>
      <c r="K20" s="25" t="s">
        <v>64</v>
      </c>
      <c r="L20" s="25" t="s">
        <v>65</v>
      </c>
    </row>
    <row r="21" customFormat="false" ht="15" hidden="false" customHeight="false" outlineLevel="0" collapsed="false">
      <c r="A21" s="23" t="n">
        <v>5</v>
      </c>
      <c r="B21" s="23" t="s">
        <v>35</v>
      </c>
      <c r="C21" s="23" t="s">
        <v>18</v>
      </c>
      <c r="D21" s="24" t="n">
        <v>19565.8</v>
      </c>
      <c r="E21" s="24" t="n">
        <v>0</v>
      </c>
      <c r="F21" s="24" t="n">
        <v>19565.8</v>
      </c>
      <c r="G21" s="24" t="n">
        <v>19565.8</v>
      </c>
      <c r="H21" s="24" t="n">
        <v>0</v>
      </c>
      <c r="I21" s="24" t="n">
        <f aca="false">G21+H21</f>
        <v>19565.8</v>
      </c>
      <c r="J21" s="24" t="n">
        <f aca="false">D21-I21</f>
        <v>0</v>
      </c>
      <c r="K21" s="25" t="s">
        <v>68</v>
      </c>
      <c r="L21" s="25" t="s">
        <v>69</v>
      </c>
    </row>
    <row r="22" customFormat="false" ht="15" hidden="false" customHeight="false" outlineLevel="0" collapsed="false">
      <c r="A22" s="23" t="n">
        <v>6</v>
      </c>
      <c r="B22" s="23" t="s">
        <v>32</v>
      </c>
      <c r="C22" s="23" t="s">
        <v>18</v>
      </c>
      <c r="D22" s="24" t="n">
        <v>58770.74</v>
      </c>
      <c r="E22" s="24" t="n">
        <v>0</v>
      </c>
      <c r="F22" s="24" t="n">
        <v>0</v>
      </c>
      <c r="G22" s="24" t="n">
        <v>4897.57</v>
      </c>
      <c r="H22" s="24" t="n">
        <v>2137.12</v>
      </c>
      <c r="I22" s="24" t="n">
        <f aca="false">G22+H22</f>
        <v>7034.69</v>
      </c>
      <c r="J22" s="24" t="n">
        <f aca="false">D22-I22</f>
        <v>51736.05</v>
      </c>
      <c r="K22" s="25" t="s">
        <v>64</v>
      </c>
      <c r="L22" s="25" t="s">
        <v>65</v>
      </c>
    </row>
    <row r="23" customFormat="false" ht="15" hidden="false" customHeight="false" outlineLevel="0" collapsed="false">
      <c r="A23" s="26"/>
      <c r="B23" s="27" t="s">
        <v>22</v>
      </c>
      <c r="C23" s="26"/>
      <c r="D23" s="28" t="n">
        <f aca="false">SUM(D17:D22)</f>
        <v>503524.71</v>
      </c>
      <c r="E23" s="28" t="n">
        <f aca="false">SUM(E17:E22)</f>
        <v>0</v>
      </c>
      <c r="F23" s="28" t="n">
        <f aca="false">SUM(F17:F22)</f>
        <v>125763.32</v>
      </c>
      <c r="G23" s="28" t="n">
        <f aca="false">SUM(G17:G22)</f>
        <v>157243.44</v>
      </c>
      <c r="H23" s="28" t="n">
        <f aca="false">SUM(H17:H22)</f>
        <v>13736.78</v>
      </c>
      <c r="I23" s="28" t="n">
        <f aca="false">SUM(I17:I22)</f>
        <v>170980.22</v>
      </c>
      <c r="J23" s="28" t="n">
        <f aca="false">SUM(J17:J22)</f>
        <v>332544.49</v>
      </c>
      <c r="K23" s="26"/>
      <c r="L23" s="26"/>
    </row>
    <row r="25" customFormat="false" ht="15" hidden="false" customHeight="false" outlineLevel="0" collapsed="false">
      <c r="B25" s="18" t="s">
        <v>72</v>
      </c>
    </row>
    <row r="26" customFormat="false" ht="15" hidden="false" customHeight="false" outlineLevel="0" collapsed="false">
      <c r="B26" s="5" t="s">
        <v>73</v>
      </c>
      <c r="D26" s="6" t="n">
        <f aca="false">I13</f>
        <v>166008.92</v>
      </c>
    </row>
    <row r="27" customFormat="false" ht="15" hidden="false" customHeight="false" outlineLevel="0" collapsed="false">
      <c r="B27" s="5" t="s">
        <v>74</v>
      </c>
      <c r="D27" s="6" t="n">
        <f aca="false">I23</f>
        <v>170980.22</v>
      </c>
    </row>
    <row r="28" customFormat="false" ht="15" hidden="false" customHeight="false" outlineLevel="0" collapsed="false">
      <c r="B28" s="11" t="s">
        <v>72</v>
      </c>
      <c r="D28" s="29" t="n">
        <f aca="false">D26-D27</f>
        <v>-4971.30000000002</v>
      </c>
    </row>
    <row r="30" customFormat="false" ht="15" hidden="false" customHeight="false" outlineLevel="0" collapsed="false">
      <c r="A30" s="10" t="s">
        <v>75</v>
      </c>
    </row>
    <row r="31" customFormat="false" ht="15" hidden="false" customHeight="false" outlineLevel="0" collapsed="false">
      <c r="A31" s="21" t="s">
        <v>76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52</v>
      </c>
      <c r="B32" s="4" t="s">
        <v>53</v>
      </c>
      <c r="C32" s="4" t="s">
        <v>54</v>
      </c>
      <c r="D32" s="4" t="s">
        <v>55</v>
      </c>
      <c r="E32" s="4" t="s">
        <v>56</v>
      </c>
      <c r="F32" s="4" t="s">
        <v>57</v>
      </c>
      <c r="G32" s="4" t="s">
        <v>77</v>
      </c>
      <c r="H32" s="4" t="s">
        <v>78</v>
      </c>
      <c r="I32" s="4" t="s">
        <v>60</v>
      </c>
      <c r="J32" s="4" t="s">
        <v>61</v>
      </c>
      <c r="K32" s="4" t="s">
        <v>62</v>
      </c>
      <c r="L32" s="4" t="s">
        <v>63</v>
      </c>
    </row>
    <row r="33" customFormat="false" ht="15" hidden="false" customHeight="false" outlineLevel="0" collapsed="false">
      <c r="A33" s="23" t="n">
        <v>1</v>
      </c>
      <c r="B33" s="23" t="s">
        <v>19</v>
      </c>
      <c r="C33" s="23" t="s">
        <v>18</v>
      </c>
      <c r="D33" s="24" t="n">
        <v>383408.73</v>
      </c>
      <c r="E33" s="24" t="n">
        <v>0</v>
      </c>
      <c r="F33" s="24" t="n">
        <v>0</v>
      </c>
      <c r="G33" s="24" t="n">
        <v>31950.77</v>
      </c>
      <c r="H33" s="24" t="n">
        <v>13942.17</v>
      </c>
      <c r="I33" s="24" t="n">
        <f aca="false">G33+H33</f>
        <v>45892.94</v>
      </c>
      <c r="J33" s="24" t="n">
        <f aca="false">D33-I33</f>
        <v>337515.79</v>
      </c>
      <c r="K33" s="25" t="s">
        <v>64</v>
      </c>
      <c r="L33" s="25" t="s">
        <v>65</v>
      </c>
    </row>
    <row r="34" customFormat="false" ht="15" hidden="false" customHeight="false" outlineLevel="0" collapsed="false">
      <c r="A34" s="23" t="n">
        <v>2</v>
      </c>
      <c r="B34" s="23" t="s">
        <v>20</v>
      </c>
      <c r="C34" s="23" t="s">
        <v>18</v>
      </c>
      <c r="D34" s="24" t="n">
        <v>41779.44</v>
      </c>
      <c r="E34" s="24" t="n">
        <v>0</v>
      </c>
      <c r="F34" s="24" t="n">
        <v>41779.44</v>
      </c>
      <c r="G34" s="24" t="n">
        <v>41779.44</v>
      </c>
      <c r="H34" s="24" t="n">
        <v>0</v>
      </c>
      <c r="I34" s="24" t="n">
        <f aca="false">G34+H34</f>
        <v>41779.44</v>
      </c>
      <c r="J34" s="24" t="n">
        <f aca="false">D34-I34</f>
        <v>0</v>
      </c>
      <c r="K34" s="25" t="s">
        <v>66</v>
      </c>
      <c r="L34" s="25" t="s">
        <v>67</v>
      </c>
    </row>
    <row r="35" customFormat="false" ht="15" hidden="false" customHeight="false" outlineLevel="0" collapsed="false">
      <c r="A35" s="23" t="n">
        <v>3</v>
      </c>
      <c r="B35" s="23" t="s">
        <v>21</v>
      </c>
      <c r="C35" s="23" t="s">
        <v>18</v>
      </c>
      <c r="D35" s="24" t="n">
        <v>78336.54</v>
      </c>
      <c r="E35" s="24" t="n">
        <v>0</v>
      </c>
      <c r="F35" s="24" t="n">
        <v>78336.54</v>
      </c>
      <c r="G35" s="24" t="n">
        <v>78336.54</v>
      </c>
      <c r="H35" s="24" t="n">
        <v>0</v>
      </c>
      <c r="I35" s="24" t="n">
        <f aca="false">G35+H35</f>
        <v>78336.54</v>
      </c>
      <c r="J35" s="24" t="n">
        <f aca="false">D35-I35</f>
        <v>0</v>
      </c>
      <c r="K35" s="25" t="s">
        <v>68</v>
      </c>
      <c r="L35" s="25" t="s">
        <v>69</v>
      </c>
    </row>
    <row r="36" customFormat="false" ht="15" hidden="false" customHeight="false" outlineLevel="0" collapsed="false">
      <c r="A36" s="26"/>
      <c r="B36" s="27" t="s">
        <v>22</v>
      </c>
      <c r="C36" s="26"/>
      <c r="D36" s="28" t="n">
        <f aca="false">SUM(D33:D35)</f>
        <v>503524.71</v>
      </c>
      <c r="E36" s="28" t="n">
        <f aca="false">SUM(E33:E35)</f>
        <v>0</v>
      </c>
      <c r="F36" s="28" t="n">
        <f aca="false">SUM(F33:F35)</f>
        <v>120115.98</v>
      </c>
      <c r="G36" s="28" t="n">
        <f aca="false">SUM(G33:G35)</f>
        <v>152066.75</v>
      </c>
      <c r="H36" s="28" t="n">
        <f aca="false">SUM(H33:H35)</f>
        <v>13942.17</v>
      </c>
      <c r="I36" s="28" t="n">
        <f aca="false">SUM(I33:I35)</f>
        <v>166008.92</v>
      </c>
      <c r="J36" s="28" t="n">
        <f aca="false">SUM(J33:J35)</f>
        <v>337515.79</v>
      </c>
      <c r="K36" s="26"/>
      <c r="L36" s="26"/>
    </row>
    <row r="38" customFormat="false" ht="15" hidden="false" customHeight="false" outlineLevel="0" collapsed="false">
      <c r="A38" s="21" t="s">
        <v>79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52</v>
      </c>
      <c r="B39" s="4" t="s">
        <v>53</v>
      </c>
      <c r="C39" s="4" t="s">
        <v>54</v>
      </c>
      <c r="D39" s="4" t="s">
        <v>55</v>
      </c>
      <c r="E39" s="4" t="s">
        <v>56</v>
      </c>
      <c r="F39" s="4" t="s">
        <v>57</v>
      </c>
      <c r="G39" s="4" t="s">
        <v>77</v>
      </c>
      <c r="H39" s="4" t="s">
        <v>78</v>
      </c>
      <c r="I39" s="4" t="s">
        <v>60</v>
      </c>
      <c r="J39" s="4" t="s">
        <v>61</v>
      </c>
      <c r="K39" s="4" t="s">
        <v>62</v>
      </c>
      <c r="L39" s="4" t="s">
        <v>63</v>
      </c>
    </row>
    <row r="40" customFormat="false" ht="15" hidden="false" customHeight="false" outlineLevel="0" collapsed="false">
      <c r="A40" s="23" t="n">
        <v>1</v>
      </c>
      <c r="B40" s="23" t="s">
        <v>33</v>
      </c>
      <c r="C40" s="23" t="s">
        <v>18</v>
      </c>
      <c r="D40" s="24" t="n">
        <v>95762.44</v>
      </c>
      <c r="E40" s="24" t="n">
        <v>0</v>
      </c>
      <c r="F40" s="24" t="n">
        <v>95762.44</v>
      </c>
      <c r="G40" s="24" t="n">
        <v>95762.44</v>
      </c>
      <c r="H40" s="24" t="n">
        <v>0</v>
      </c>
      <c r="I40" s="24" t="n">
        <f aca="false">G40+H40</f>
        <v>95762.44</v>
      </c>
      <c r="J40" s="24" t="n">
        <f aca="false">D40-I40</f>
        <v>0</v>
      </c>
      <c r="K40" s="25" t="s">
        <v>68</v>
      </c>
      <c r="L40" s="25" t="s">
        <v>69</v>
      </c>
    </row>
    <row r="41" customFormat="false" ht="15" hidden="false" customHeight="false" outlineLevel="0" collapsed="false">
      <c r="A41" s="23" t="n">
        <v>2</v>
      </c>
      <c r="B41" s="23" t="s">
        <v>26</v>
      </c>
      <c r="C41" s="23" t="s">
        <v>18</v>
      </c>
      <c r="D41" s="24" t="n">
        <v>287646.29</v>
      </c>
      <c r="E41" s="24" t="n">
        <v>0</v>
      </c>
      <c r="F41" s="24" t="n">
        <v>0</v>
      </c>
      <c r="G41" s="24" t="n">
        <v>23970.53</v>
      </c>
      <c r="H41" s="24" t="n">
        <v>10459.87</v>
      </c>
      <c r="I41" s="24" t="n">
        <f aca="false">G41+H41</f>
        <v>34430.4</v>
      </c>
      <c r="J41" s="24" t="n">
        <f aca="false">D41-I41</f>
        <v>253215.89</v>
      </c>
      <c r="K41" s="25" t="s">
        <v>64</v>
      </c>
      <c r="L41" s="25" t="s">
        <v>65</v>
      </c>
    </row>
    <row r="42" customFormat="false" ht="15" hidden="false" customHeight="false" outlineLevel="0" collapsed="false">
      <c r="A42" s="23" t="n">
        <v>3</v>
      </c>
      <c r="B42" s="23" t="s">
        <v>34</v>
      </c>
      <c r="C42" s="23" t="s">
        <v>18</v>
      </c>
      <c r="D42" s="24" t="n">
        <v>10435.08</v>
      </c>
      <c r="E42" s="24" t="n">
        <v>0</v>
      </c>
      <c r="F42" s="24" t="n">
        <v>10435.08</v>
      </c>
      <c r="G42" s="24" t="n">
        <v>10435.08</v>
      </c>
      <c r="H42" s="24" t="n">
        <v>0</v>
      </c>
      <c r="I42" s="24" t="n">
        <f aca="false">G42+H42</f>
        <v>10435.08</v>
      </c>
      <c r="J42" s="24" t="n">
        <f aca="false">D42-I42</f>
        <v>0</v>
      </c>
      <c r="K42" s="25" t="s">
        <v>68</v>
      </c>
      <c r="L42" s="25" t="s">
        <v>69</v>
      </c>
    </row>
    <row r="43" customFormat="false" ht="15" hidden="false" customHeight="false" outlineLevel="0" collapsed="false">
      <c r="A43" s="23" t="n">
        <v>4</v>
      </c>
      <c r="B43" s="23" t="s">
        <v>26</v>
      </c>
      <c r="C43" s="23" t="s">
        <v>18</v>
      </c>
      <c r="D43" s="24" t="n">
        <v>31344.36</v>
      </c>
      <c r="E43" s="24" t="n">
        <v>0</v>
      </c>
      <c r="F43" s="24" t="n">
        <v>0</v>
      </c>
      <c r="G43" s="24" t="n">
        <v>2612.02</v>
      </c>
      <c r="H43" s="24" t="n">
        <v>1139.79</v>
      </c>
      <c r="I43" s="24" t="n">
        <f aca="false">G43+H43</f>
        <v>3751.81</v>
      </c>
      <c r="J43" s="24" t="n">
        <f aca="false">D43-I43</f>
        <v>27592.55</v>
      </c>
      <c r="K43" s="25" t="s">
        <v>64</v>
      </c>
      <c r="L43" s="25" t="s">
        <v>65</v>
      </c>
    </row>
    <row r="44" customFormat="false" ht="15" hidden="false" customHeight="false" outlineLevel="0" collapsed="false">
      <c r="A44" s="23" t="n">
        <v>5</v>
      </c>
      <c r="B44" s="23" t="s">
        <v>35</v>
      </c>
      <c r="C44" s="23" t="s">
        <v>18</v>
      </c>
      <c r="D44" s="24" t="n">
        <v>19565.8</v>
      </c>
      <c r="E44" s="24" t="n">
        <v>0</v>
      </c>
      <c r="F44" s="24" t="n">
        <v>19565.8</v>
      </c>
      <c r="G44" s="24" t="n">
        <v>19565.8</v>
      </c>
      <c r="H44" s="24" t="n">
        <v>0</v>
      </c>
      <c r="I44" s="24" t="n">
        <f aca="false">G44+H44</f>
        <v>19565.8</v>
      </c>
      <c r="J44" s="24" t="n">
        <f aca="false">D44-I44</f>
        <v>0</v>
      </c>
      <c r="K44" s="25" t="s">
        <v>68</v>
      </c>
      <c r="L44" s="25" t="s">
        <v>69</v>
      </c>
    </row>
    <row r="45" customFormat="false" ht="15" hidden="false" customHeight="false" outlineLevel="0" collapsed="false">
      <c r="A45" s="23" t="n">
        <v>6</v>
      </c>
      <c r="B45" s="23" t="s">
        <v>32</v>
      </c>
      <c r="C45" s="23" t="s">
        <v>18</v>
      </c>
      <c r="D45" s="24" t="n">
        <v>58770.74</v>
      </c>
      <c r="E45" s="24" t="n">
        <v>0</v>
      </c>
      <c r="F45" s="24" t="n">
        <v>0</v>
      </c>
      <c r="G45" s="24" t="n">
        <v>4897.57</v>
      </c>
      <c r="H45" s="24" t="n">
        <v>2137.12</v>
      </c>
      <c r="I45" s="24" t="n">
        <f aca="false">G45+H45</f>
        <v>7034.69</v>
      </c>
      <c r="J45" s="24" t="n">
        <f aca="false">D45-I45</f>
        <v>51736.05</v>
      </c>
      <c r="K45" s="25" t="s">
        <v>64</v>
      </c>
      <c r="L45" s="25" t="s">
        <v>65</v>
      </c>
    </row>
    <row r="46" customFormat="false" ht="15" hidden="false" customHeight="false" outlineLevel="0" collapsed="false">
      <c r="A46" s="26"/>
      <c r="B46" s="27" t="s">
        <v>22</v>
      </c>
      <c r="C46" s="26"/>
      <c r="D46" s="28" t="n">
        <f aca="false">SUM(D40:D45)</f>
        <v>503524.71</v>
      </c>
      <c r="E46" s="28" t="n">
        <f aca="false">SUM(E40:E45)</f>
        <v>0</v>
      </c>
      <c r="F46" s="28" t="n">
        <f aca="false">SUM(F40:F45)</f>
        <v>125763.32</v>
      </c>
      <c r="G46" s="28" t="n">
        <f aca="false">SUM(G40:G45)</f>
        <v>157243.44</v>
      </c>
      <c r="H46" s="28" t="n">
        <f aca="false">SUM(H40:H45)</f>
        <v>13736.78</v>
      </c>
      <c r="I46" s="28" t="n">
        <f aca="false">SUM(I40:I45)</f>
        <v>170980.22</v>
      </c>
      <c r="J46" s="28" t="n">
        <f aca="false">SUM(J40:J45)</f>
        <v>332544.49</v>
      </c>
      <c r="K46" s="26"/>
      <c r="L46" s="26"/>
    </row>
    <row r="48" customFormat="false" ht="15" hidden="false" customHeight="false" outlineLevel="0" collapsed="false">
      <c r="B48" s="18" t="s">
        <v>80</v>
      </c>
    </row>
    <row r="49" customFormat="false" ht="15" hidden="false" customHeight="false" outlineLevel="0" collapsed="false">
      <c r="B49" s="5" t="s">
        <v>73</v>
      </c>
      <c r="D49" s="6" t="n">
        <f aca="false">I36</f>
        <v>166008.92</v>
      </c>
    </row>
    <row r="50" customFormat="false" ht="15" hidden="false" customHeight="false" outlineLevel="0" collapsed="false">
      <c r="B50" s="5" t="s">
        <v>74</v>
      </c>
      <c r="D50" s="6" t="n">
        <f aca="false">I46</f>
        <v>170980.22</v>
      </c>
    </row>
    <row r="51" customFormat="false" ht="15" hidden="false" customHeight="false" outlineLevel="0" collapsed="false">
      <c r="B51" s="11" t="s">
        <v>80</v>
      </c>
      <c r="D51" s="29" t="n">
        <f aca="false">D49-D50</f>
        <v>-4971.30000000002</v>
      </c>
    </row>
    <row r="53" customFormat="false" ht="15" hidden="false" customHeight="false" outlineLevel="0" collapsed="false">
      <c r="A53" s="10" t="s">
        <v>81</v>
      </c>
    </row>
    <row r="54" customFormat="false" ht="15" hidden="false" customHeight="false" outlineLevel="0" collapsed="false">
      <c r="B54" s="11" t="s">
        <v>115</v>
      </c>
      <c r="D54" s="12" t="n">
        <f aca="false">D93</f>
        <v>503524.71</v>
      </c>
    </row>
    <row r="55" customFormat="false" ht="15" hidden="false" customHeight="false" outlineLevel="0" collapsed="false">
      <c r="B55" s="5" t="s">
        <v>116</v>
      </c>
      <c r="D55" s="6" t="n">
        <f aca="false">F93</f>
        <v>125763.32</v>
      </c>
    </row>
    <row r="56" customFormat="false" ht="15" hidden="false" customHeight="false" outlineLevel="0" collapsed="false">
      <c r="B56" s="30" t="s">
        <v>84</v>
      </c>
      <c r="D56" s="31" t="n">
        <f aca="false">F94</f>
        <v>0.249765935022335</v>
      </c>
    </row>
    <row r="57" customFormat="false" ht="15" hidden="false" customHeight="false" outlineLevel="0" collapsed="false">
      <c r="B57" s="5" t="s">
        <v>117</v>
      </c>
      <c r="D57" s="6" t="n">
        <f aca="false">H93</f>
        <v>377761.39</v>
      </c>
    </row>
    <row r="58" customFormat="false" ht="15" hidden="false" customHeight="false" outlineLevel="0" collapsed="false">
      <c r="B58" s="30" t="s">
        <v>84</v>
      </c>
      <c r="D58" s="31" t="n">
        <f aca="false">H94</f>
        <v>0.750234064977665</v>
      </c>
    </row>
    <row r="60" customFormat="false" ht="15" hidden="false" customHeight="false" outlineLevel="0" collapsed="false">
      <c r="A60" s="10" t="s">
        <v>87</v>
      </c>
    </row>
    <row r="61" customFormat="false" ht="15" hidden="false" customHeight="false" outlineLevel="0" collapsed="false">
      <c r="B61" s="4" t="s">
        <v>88</v>
      </c>
      <c r="D61" s="4" t="s">
        <v>55</v>
      </c>
      <c r="F61" s="4" t="s">
        <v>118</v>
      </c>
      <c r="H61" s="4" t="s">
        <v>91</v>
      </c>
    </row>
    <row r="62" customFormat="false" ht="15" hidden="false" customHeight="false" outlineLevel="0" collapsed="false">
      <c r="B62" s="32" t="s">
        <v>119</v>
      </c>
    </row>
    <row r="63" customFormat="false" ht="15" hidden="false" customHeight="false" outlineLevel="0" collapsed="false">
      <c r="B63" s="5" t="s">
        <v>120</v>
      </c>
      <c r="D63" s="33" t="n">
        <f aca="false">SUM(F63:H63)</f>
        <v>26757.81</v>
      </c>
      <c r="F63" s="33" t="n">
        <v>26757.81</v>
      </c>
    </row>
    <row r="64" customFormat="false" ht="15" hidden="false" customHeight="false" outlineLevel="0" collapsed="false">
      <c r="B64" s="5" t="s">
        <v>121</v>
      </c>
      <c r="D64" s="33" t="n">
        <f aca="false">SUM(F64:H64)</f>
        <v>7990.89</v>
      </c>
      <c r="F64" s="33" t="n">
        <v>7990.89</v>
      </c>
    </row>
    <row r="65" customFormat="false" ht="15" hidden="false" customHeight="false" outlineLevel="0" collapsed="false">
      <c r="B65" s="5" t="s">
        <v>122</v>
      </c>
      <c r="D65" s="33" t="n">
        <f aca="false">SUM(F65:H65)</f>
        <v>37800.94</v>
      </c>
      <c r="F65" s="33" t="n">
        <v>37800.94</v>
      </c>
    </row>
    <row r="66" customFormat="false" ht="15" hidden="false" customHeight="false" outlineLevel="0" collapsed="false">
      <c r="B66" s="5" t="s">
        <v>123</v>
      </c>
      <c r="D66" s="33" t="n">
        <f aca="false">SUM(F66:H66)</f>
        <v>2842.52</v>
      </c>
      <c r="F66" s="33" t="n">
        <v>2842.52</v>
      </c>
    </row>
    <row r="67" customFormat="false" ht="15" hidden="false" customHeight="false" outlineLevel="0" collapsed="false">
      <c r="B67" s="5" t="s">
        <v>124</v>
      </c>
      <c r="D67" s="33" t="n">
        <f aca="false">SUM(F67:H67)</f>
        <v>2418.44</v>
      </c>
      <c r="F67" s="33" t="n">
        <v>2418.44</v>
      </c>
    </row>
    <row r="68" customFormat="false" ht="15" hidden="false" customHeight="false" outlineLevel="0" collapsed="false">
      <c r="B68" s="5" t="s">
        <v>125</v>
      </c>
      <c r="D68" s="33" t="n">
        <f aca="false">SUM(F68:H68)</f>
        <v>718.3</v>
      </c>
      <c r="F68" s="33" t="n">
        <v>718.3</v>
      </c>
    </row>
    <row r="69" customFormat="false" ht="15" hidden="false" customHeight="false" outlineLevel="0" collapsed="false">
      <c r="B69" s="5" t="s">
        <v>126</v>
      </c>
      <c r="D69" s="33" t="n">
        <f aca="false">SUM(F69:H69)</f>
        <v>705.03</v>
      </c>
      <c r="F69" s="33" t="n">
        <v>705.03</v>
      </c>
    </row>
    <row r="70" customFormat="false" ht="15" hidden="false" customHeight="false" outlineLevel="0" collapsed="false">
      <c r="B70" s="5" t="s">
        <v>127</v>
      </c>
      <c r="D70" s="33" t="n">
        <f aca="false">SUM(F70:H70)</f>
        <v>12363.8</v>
      </c>
      <c r="F70" s="33" t="n">
        <v>12363.8</v>
      </c>
    </row>
    <row r="71" customFormat="false" ht="15" hidden="false" customHeight="false" outlineLevel="0" collapsed="false">
      <c r="B71" s="5" t="s">
        <v>128</v>
      </c>
      <c r="D71" s="33" t="n">
        <f aca="false">SUM(F71:H71)</f>
        <v>3400.77</v>
      </c>
      <c r="F71" s="33" t="n">
        <v>3400.77</v>
      </c>
    </row>
    <row r="72" customFormat="false" ht="15" hidden="false" customHeight="false" outlineLevel="0" collapsed="false">
      <c r="B72" s="5" t="s">
        <v>129</v>
      </c>
      <c r="D72" s="33" t="n">
        <f aca="false">SUM(F72:H72)</f>
        <v>13431.92</v>
      </c>
      <c r="F72" s="33" t="n">
        <v>13431.92</v>
      </c>
    </row>
    <row r="73" customFormat="false" ht="15" hidden="false" customHeight="false" outlineLevel="0" collapsed="false">
      <c r="B73" s="5" t="s">
        <v>130</v>
      </c>
      <c r="D73" s="33" t="n">
        <f aca="false">SUM(F73:H73)</f>
        <v>1140.5</v>
      </c>
      <c r="F73" s="33" t="n">
        <v>1140.5</v>
      </c>
    </row>
    <row r="74" customFormat="false" ht="15" hidden="false" customHeight="false" outlineLevel="0" collapsed="false">
      <c r="B74" s="5" t="s">
        <v>131</v>
      </c>
      <c r="D74" s="33" t="n">
        <f aca="false">SUM(F74:H74)</f>
        <v>1360.86</v>
      </c>
      <c r="F74" s="33" t="n">
        <v>1360.86</v>
      </c>
    </row>
    <row r="75" customFormat="false" ht="15" hidden="false" customHeight="false" outlineLevel="0" collapsed="false">
      <c r="B75" s="5" t="s">
        <v>132</v>
      </c>
      <c r="D75" s="33" t="n">
        <f aca="false">SUM(F75:H75)</f>
        <v>14831.54</v>
      </c>
      <c r="F75" s="33" t="n">
        <v>14831.54</v>
      </c>
    </row>
    <row r="76" customFormat="false" ht="15" hidden="false" customHeight="false" outlineLevel="0" collapsed="false">
      <c r="B76" s="32" t="s">
        <v>133</v>
      </c>
    </row>
    <row r="77" customFormat="false" ht="15" hidden="false" customHeight="false" outlineLevel="0" collapsed="false">
      <c r="B77" s="5" t="s">
        <v>134</v>
      </c>
      <c r="D77" s="33" t="n">
        <f aca="false">SUM(F77:H77)</f>
        <v>25110.72</v>
      </c>
      <c r="H77" s="33" t="n">
        <v>25110.72</v>
      </c>
    </row>
    <row r="78" customFormat="false" ht="15" hidden="false" customHeight="false" outlineLevel="0" collapsed="false">
      <c r="B78" s="5" t="s">
        <v>135</v>
      </c>
      <c r="D78" s="33" t="n">
        <f aca="false">SUM(F78:H78)</f>
        <v>35390.34</v>
      </c>
      <c r="H78" s="33" t="n">
        <v>35390.34</v>
      </c>
    </row>
    <row r="79" customFormat="false" ht="15" hidden="false" customHeight="false" outlineLevel="0" collapsed="false">
      <c r="B79" s="5" t="s">
        <v>136</v>
      </c>
      <c r="D79" s="33" t="n">
        <f aca="false">SUM(F79:H79)</f>
        <v>29008.33</v>
      </c>
      <c r="H79" s="33" t="n">
        <v>29008.33</v>
      </c>
    </row>
    <row r="80" customFormat="false" ht="15" hidden="false" customHeight="false" outlineLevel="0" collapsed="false">
      <c r="B80" s="5" t="s">
        <v>137</v>
      </c>
      <c r="D80" s="33" t="n">
        <f aca="false">SUM(F80:H80)</f>
        <v>31389.04</v>
      </c>
      <c r="H80" s="33" t="n">
        <v>31389.04</v>
      </c>
    </row>
    <row r="81" customFormat="false" ht="15" hidden="false" customHeight="false" outlineLevel="0" collapsed="false">
      <c r="B81" s="5" t="s">
        <v>138</v>
      </c>
      <c r="D81" s="33" t="n">
        <f aca="false">SUM(F81:H81)</f>
        <v>26496.62</v>
      </c>
      <c r="H81" s="33" t="n">
        <v>26496.62</v>
      </c>
    </row>
    <row r="82" customFormat="false" ht="15" hidden="false" customHeight="false" outlineLevel="0" collapsed="false">
      <c r="B82" s="5" t="s">
        <v>139</v>
      </c>
      <c r="D82" s="33" t="n">
        <f aca="false">SUM(F82:H82)</f>
        <v>12009.05</v>
      </c>
      <c r="H82" s="33" t="n">
        <v>12009.05</v>
      </c>
    </row>
    <row r="83" customFormat="false" ht="15" hidden="false" customHeight="false" outlineLevel="0" collapsed="false">
      <c r="B83" s="5" t="s">
        <v>140</v>
      </c>
      <c r="D83" s="33" t="n">
        <f aca="false">SUM(F83:H83)</f>
        <v>23153.47</v>
      </c>
      <c r="H83" s="33" t="n">
        <v>23153.47</v>
      </c>
    </row>
    <row r="84" customFormat="false" ht="15" hidden="false" customHeight="false" outlineLevel="0" collapsed="false">
      <c r="B84" s="5" t="s">
        <v>141</v>
      </c>
      <c r="D84" s="33" t="n">
        <f aca="false">SUM(F84:H84)</f>
        <v>10659.46</v>
      </c>
      <c r="H84" s="33" t="n">
        <v>10659.46</v>
      </c>
    </row>
    <row r="85" customFormat="false" ht="15" hidden="false" customHeight="false" outlineLevel="0" collapsed="false">
      <c r="B85" s="5" t="s">
        <v>142</v>
      </c>
      <c r="D85" s="33" t="n">
        <f aca="false">SUM(F85:H85)</f>
        <v>16835.06</v>
      </c>
      <c r="H85" s="33" t="n">
        <v>16835.06</v>
      </c>
    </row>
    <row r="86" customFormat="false" ht="15" hidden="false" customHeight="false" outlineLevel="0" collapsed="false">
      <c r="B86" s="5" t="s">
        <v>143</v>
      </c>
      <c r="D86" s="33" t="n">
        <f aca="false">SUM(F86:H86)</f>
        <v>39604.25</v>
      </c>
      <c r="H86" s="33" t="n">
        <v>39604.25</v>
      </c>
    </row>
    <row r="87" customFormat="false" ht="15" hidden="false" customHeight="false" outlineLevel="0" collapsed="false">
      <c r="B87" s="5" t="s">
        <v>144</v>
      </c>
      <c r="D87" s="33" t="n">
        <f aca="false">SUM(F87:H87)</f>
        <v>16001</v>
      </c>
      <c r="H87" s="33" t="n">
        <v>16001</v>
      </c>
    </row>
    <row r="88" customFormat="false" ht="15" hidden="false" customHeight="false" outlineLevel="0" collapsed="false">
      <c r="B88" s="5" t="s">
        <v>145</v>
      </c>
      <c r="D88" s="33" t="n">
        <f aca="false">SUM(F88:H88)</f>
        <v>1863.69</v>
      </c>
      <c r="H88" s="33" t="n">
        <v>1863.69</v>
      </c>
    </row>
    <row r="89" customFormat="false" ht="15" hidden="false" customHeight="false" outlineLevel="0" collapsed="false">
      <c r="B89" s="5" t="s">
        <v>146</v>
      </c>
      <c r="D89" s="33" t="n">
        <f aca="false">SUM(F89:H89)</f>
        <v>82713.76</v>
      </c>
      <c r="H89" s="33" t="n">
        <v>82713.76</v>
      </c>
    </row>
    <row r="90" customFormat="false" ht="15" hidden="false" customHeight="false" outlineLevel="0" collapsed="false">
      <c r="B90" s="5" t="s">
        <v>147</v>
      </c>
      <c r="D90" s="33" t="n">
        <f aca="false">SUM(F90:H90)</f>
        <v>10815.9</v>
      </c>
      <c r="H90" s="33" t="n">
        <v>10815.9</v>
      </c>
    </row>
    <row r="91" customFormat="false" ht="15" hidden="false" customHeight="false" outlineLevel="0" collapsed="false">
      <c r="B91" s="5" t="s">
        <v>148</v>
      </c>
      <c r="D91" s="33" t="n">
        <f aca="false">SUM(F91:H91)</f>
        <v>9740.22</v>
      </c>
      <c r="H91" s="33" t="n">
        <v>9740.22</v>
      </c>
    </row>
    <row r="92" customFormat="false" ht="15" hidden="false" customHeight="false" outlineLevel="0" collapsed="false">
      <c r="B92" s="5" t="s">
        <v>149</v>
      </c>
      <c r="D92" s="33" t="n">
        <f aca="false">SUM(F92:H92)</f>
        <v>6970.48</v>
      </c>
      <c r="H92" s="33" t="n">
        <v>6970.48</v>
      </c>
    </row>
    <row r="93" customFormat="false" ht="15" hidden="false" customHeight="false" outlineLevel="0" collapsed="false">
      <c r="B93" s="11" t="s">
        <v>115</v>
      </c>
      <c r="D93" s="34" t="n">
        <f aca="false">SUM(D62:D92)</f>
        <v>503524.71</v>
      </c>
      <c r="F93" s="34" t="n">
        <f aca="false">SUM(F62:F92)</f>
        <v>125763.32</v>
      </c>
      <c r="H93" s="34" t="n">
        <f aca="false">SUM(H62:H92)</f>
        <v>377761.39</v>
      </c>
    </row>
    <row r="94" customFormat="false" ht="15" hidden="false" customHeight="false" outlineLevel="0" collapsed="false">
      <c r="B94" s="30" t="s">
        <v>84</v>
      </c>
      <c r="F94" s="31" t="n">
        <f aca="false">F93/D93</f>
        <v>0.249765935022335</v>
      </c>
      <c r="H94" s="31" t="n">
        <f aca="false">H93/D93</f>
        <v>0.750234064977665</v>
      </c>
    </row>
    <row r="96" customFormat="false" ht="15" hidden="false" customHeight="false" outlineLevel="0" collapsed="false">
      <c r="A96" s="10" t="s">
        <v>110</v>
      </c>
    </row>
    <row r="97" customFormat="false" ht="15" hidden="false" customHeight="false" outlineLevel="0" collapsed="false">
      <c r="B97" s="4" t="s">
        <v>111</v>
      </c>
      <c r="D97" s="4" t="s">
        <v>55</v>
      </c>
      <c r="F97" s="4" t="s">
        <v>118</v>
      </c>
      <c r="H97" s="4" t="s">
        <v>91</v>
      </c>
    </row>
    <row r="98" customFormat="false" ht="15" hidden="false" customHeight="false" outlineLevel="0" collapsed="false">
      <c r="B98" s="5" t="str">
        <f aca="false">'Bldg 3'!B17</f>
        <v>2-Building-5yr</v>
      </c>
      <c r="D98" s="33" t="n">
        <f aca="false">SUM(F98:H98)</f>
        <v>95762.44</v>
      </c>
      <c r="F98" s="33" t="n">
        <f aca="false">'Bldg 3'!D17</f>
        <v>95762.44</v>
      </c>
    </row>
    <row r="99" customFormat="false" ht="15" hidden="false" customHeight="false" outlineLevel="0" collapsed="false">
      <c r="B99" s="5" t="str">
        <f aca="false">'Bldg 3'!B18</f>
        <v>2-Building-27.5yr</v>
      </c>
      <c r="D99" s="33" t="n">
        <f aca="false">SUM(F99:H99)</f>
        <v>287646.29</v>
      </c>
      <c r="H99" s="33" t="n">
        <f aca="false">'Bldg 3'!D18</f>
        <v>287646.29</v>
      </c>
    </row>
    <row r="100" customFormat="false" ht="15" hidden="false" customHeight="false" outlineLevel="0" collapsed="false">
      <c r="B100" s="5" t="str">
        <f aca="false">'Bldg 3'!B19</f>
        <v>3-Land Improvements-5yr</v>
      </c>
      <c r="D100" s="33" t="n">
        <f aca="false">SUM(F100:H100)</f>
        <v>10435.08</v>
      </c>
      <c r="F100" s="33" t="n">
        <f aca="false">'Bldg 3'!D19</f>
        <v>10435.08</v>
      </c>
    </row>
    <row r="101" customFormat="false" ht="15" hidden="false" customHeight="false" outlineLevel="0" collapsed="false">
      <c r="B101" s="5" t="str">
        <f aca="false">'Bldg 3'!B20</f>
        <v>2-Building-27.5yr</v>
      </c>
      <c r="D101" s="33" t="n">
        <f aca="false">SUM(F101:H101)</f>
        <v>31344.36</v>
      </c>
      <c r="H101" s="33" t="n">
        <f aca="false">'Bldg 3'!D20</f>
        <v>31344.36</v>
      </c>
    </row>
    <row r="102" customFormat="false" ht="15" hidden="false" customHeight="false" outlineLevel="0" collapsed="false">
      <c r="B102" s="5" t="str">
        <f aca="false">'Bldg 3'!B21</f>
        <v>4-Equipment-5yr</v>
      </c>
      <c r="D102" s="33" t="n">
        <f aca="false">SUM(F102:H102)</f>
        <v>19565.8</v>
      </c>
      <c r="F102" s="33" t="n">
        <f aca="false">'Bldg 3'!D21</f>
        <v>19565.8</v>
      </c>
    </row>
    <row r="103" customFormat="false" ht="15" hidden="false" customHeight="false" outlineLevel="0" collapsed="false">
      <c r="B103" s="5" t="str">
        <f aca="false">'Bldg 3'!B22</f>
        <v>4-Equipment-27.5yr</v>
      </c>
      <c r="D103" s="33" t="n">
        <f aca="false">SUM(F103:H103)</f>
        <v>58770.74</v>
      </c>
      <c r="H103" s="33" t="n">
        <f aca="false">'Bldg 3'!D22</f>
        <v>58770.74</v>
      </c>
    </row>
    <row r="104" customFormat="false" ht="15" hidden="false" customHeight="false" outlineLevel="0" collapsed="false">
      <c r="B104" s="11" t="s">
        <v>112</v>
      </c>
      <c r="D104" s="34" t="n">
        <f aca="false">SUM(D98:D103)</f>
        <v>503524.71</v>
      </c>
      <c r="F104" s="34" t="n">
        <f aca="false">SUM(F98:F103)</f>
        <v>125763.32</v>
      </c>
      <c r="H104" s="34" t="n">
        <f aca="false">SUM(H98:H103)</f>
        <v>377761.39</v>
      </c>
    </row>
    <row r="105" customFormat="false" ht="15" hidden="false" customHeight="false" outlineLevel="0" collapsed="false">
      <c r="B105" s="16" t="s">
        <v>113</v>
      </c>
      <c r="D105" s="17" t="n">
        <f aca="false">D104-D93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153</v>
      </c>
    </row>
    <row r="5" customFormat="false" ht="15" hidden="false" customHeight="false" outlineLevel="0" collapsed="false">
      <c r="A5" s="16" t="s">
        <v>49</v>
      </c>
    </row>
    <row r="7" customFormat="false" ht="15" hidden="false" customHeight="false" outlineLevel="0" collapsed="false">
      <c r="A7" s="10" t="s">
        <v>50</v>
      </c>
    </row>
    <row r="8" customFormat="false" ht="15" hidden="false" customHeight="false" outlineLevel="0" collapsed="false">
      <c r="A8" s="21" t="s">
        <v>51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18</v>
      </c>
      <c r="D10" s="24" t="n">
        <v>302676.39</v>
      </c>
      <c r="E10" s="24" t="n">
        <v>0</v>
      </c>
      <c r="F10" s="24" t="n">
        <v>0</v>
      </c>
      <c r="G10" s="24" t="n">
        <v>25223.07</v>
      </c>
      <c r="H10" s="24" t="n">
        <v>11006.44</v>
      </c>
      <c r="I10" s="24" t="n">
        <f aca="false">G10+H10</f>
        <v>36229.51</v>
      </c>
      <c r="J10" s="24" t="n">
        <f aca="false">D10-I10</f>
        <v>266446.88</v>
      </c>
      <c r="K10" s="25" t="s">
        <v>64</v>
      </c>
      <c r="L10" s="25" t="s">
        <v>65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18</v>
      </c>
      <c r="D11" s="24" t="n">
        <v>32982.17</v>
      </c>
      <c r="E11" s="24" t="n">
        <v>0</v>
      </c>
      <c r="F11" s="24" t="n">
        <v>32982.17</v>
      </c>
      <c r="G11" s="24" t="n">
        <v>32982.17</v>
      </c>
      <c r="H11" s="24" t="n">
        <v>0</v>
      </c>
      <c r="I11" s="24" t="n">
        <f aca="false">G11+H11</f>
        <v>32982.17</v>
      </c>
      <c r="J11" s="24" t="n">
        <f aca="false">D11-I11</f>
        <v>0</v>
      </c>
      <c r="K11" s="25" t="s">
        <v>66</v>
      </c>
      <c r="L11" s="25" t="s">
        <v>67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18</v>
      </c>
      <c r="D12" s="24" t="n">
        <v>61841.63</v>
      </c>
      <c r="E12" s="24" t="n">
        <v>0</v>
      </c>
      <c r="F12" s="24" t="n">
        <v>61841.63</v>
      </c>
      <c r="G12" s="24" t="n">
        <v>61841.63</v>
      </c>
      <c r="H12" s="24" t="n">
        <v>0</v>
      </c>
      <c r="I12" s="24" t="n">
        <f aca="false">G12+H12</f>
        <v>61841.63</v>
      </c>
      <c r="J12" s="24" t="n">
        <f aca="false">D12-I12</f>
        <v>0</v>
      </c>
      <c r="K12" s="25" t="s">
        <v>68</v>
      </c>
      <c r="L12" s="25" t="s">
        <v>69</v>
      </c>
    </row>
    <row r="13" customFormat="false" ht="15" hidden="false" customHeight="false" outlineLevel="0" collapsed="false">
      <c r="A13" s="26"/>
      <c r="B13" s="27" t="s">
        <v>22</v>
      </c>
      <c r="C13" s="26"/>
      <c r="D13" s="28" t="n">
        <f aca="false">SUM(D10:D12)</f>
        <v>397500.19</v>
      </c>
      <c r="E13" s="28" t="n">
        <f aca="false">SUM(E10:E12)</f>
        <v>0</v>
      </c>
      <c r="F13" s="28" t="n">
        <f aca="false">SUM(F10:F12)</f>
        <v>94823.8</v>
      </c>
      <c r="G13" s="28" t="n">
        <f aca="false">SUM(G10:G12)</f>
        <v>120046.87</v>
      </c>
      <c r="H13" s="28" t="n">
        <f aca="false">SUM(H10:H12)</f>
        <v>11006.44</v>
      </c>
      <c r="I13" s="28" t="n">
        <f aca="false">SUM(I10:I12)</f>
        <v>131053.31</v>
      </c>
      <c r="J13" s="28" t="n">
        <f aca="false">SUM(J10:J12)</f>
        <v>266446.88</v>
      </c>
      <c r="K13" s="26"/>
      <c r="L13" s="26"/>
    </row>
    <row r="15" customFormat="false" ht="15" hidden="false" customHeight="false" outlineLevel="0" collapsed="false">
      <c r="A15" s="21" t="s">
        <v>70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52</v>
      </c>
      <c r="B16" s="4" t="s">
        <v>53</v>
      </c>
      <c r="C16" s="4" t="s">
        <v>54</v>
      </c>
      <c r="D16" s="4" t="s">
        <v>55</v>
      </c>
      <c r="E16" s="4" t="s">
        <v>56</v>
      </c>
      <c r="F16" s="4" t="s">
        <v>57</v>
      </c>
      <c r="G16" s="4" t="s">
        <v>58</v>
      </c>
      <c r="H16" s="4" t="s">
        <v>59</v>
      </c>
      <c r="I16" s="4" t="s">
        <v>60</v>
      </c>
      <c r="J16" s="4" t="s">
        <v>61</v>
      </c>
      <c r="K16" s="4" t="s">
        <v>62</v>
      </c>
      <c r="L16" s="4" t="s">
        <v>63</v>
      </c>
    </row>
    <row r="17" customFormat="false" ht="15" hidden="false" customHeight="false" outlineLevel="0" collapsed="false">
      <c r="A17" s="23" t="n">
        <v>1</v>
      </c>
      <c r="B17" s="23" t="s">
        <v>33</v>
      </c>
      <c r="C17" s="23" t="s">
        <v>18</v>
      </c>
      <c r="D17" s="24" t="n">
        <v>83590.83</v>
      </c>
      <c r="E17" s="24" t="n">
        <v>0</v>
      </c>
      <c r="F17" s="24" t="n">
        <v>83590.83</v>
      </c>
      <c r="G17" s="24" t="n">
        <v>83590.83</v>
      </c>
      <c r="H17" s="24" t="n">
        <v>0</v>
      </c>
      <c r="I17" s="24" t="n">
        <f aca="false">G17+H17</f>
        <v>83590.83</v>
      </c>
      <c r="J17" s="24" t="n">
        <f aca="false">D17-I17</f>
        <v>0</v>
      </c>
      <c r="K17" s="25" t="s">
        <v>68</v>
      </c>
      <c r="L17" s="25" t="s">
        <v>69</v>
      </c>
    </row>
    <row r="18" customFormat="false" ht="15" hidden="false" customHeight="false" outlineLevel="0" collapsed="false">
      <c r="A18" s="23" t="n">
        <v>2</v>
      </c>
      <c r="B18" s="23" t="s">
        <v>26</v>
      </c>
      <c r="C18" s="23" t="s">
        <v>18</v>
      </c>
      <c r="D18" s="24" t="n">
        <v>219085.56</v>
      </c>
      <c r="E18" s="24" t="n">
        <v>0</v>
      </c>
      <c r="F18" s="24" t="n">
        <v>0</v>
      </c>
      <c r="G18" s="24" t="n">
        <v>18257.13</v>
      </c>
      <c r="H18" s="24" t="n">
        <v>7966.75</v>
      </c>
      <c r="I18" s="24" t="n">
        <f aca="false">G18+H18</f>
        <v>26223.88</v>
      </c>
      <c r="J18" s="24" t="n">
        <f aca="false">D18-I18</f>
        <v>192861.68</v>
      </c>
      <c r="K18" s="25" t="s">
        <v>64</v>
      </c>
      <c r="L18" s="25" t="s">
        <v>65</v>
      </c>
    </row>
    <row r="19" customFormat="false" ht="15" hidden="false" customHeight="false" outlineLevel="0" collapsed="false">
      <c r="A19" s="23" t="n">
        <v>3</v>
      </c>
      <c r="B19" s="23" t="s">
        <v>34</v>
      </c>
      <c r="C19" s="23" t="s">
        <v>18</v>
      </c>
      <c r="D19" s="24" t="n">
        <v>9108.76</v>
      </c>
      <c r="E19" s="24" t="n">
        <v>0</v>
      </c>
      <c r="F19" s="24" t="n">
        <v>9108.76</v>
      </c>
      <c r="G19" s="24" t="n">
        <v>9108.76</v>
      </c>
      <c r="H19" s="24" t="n">
        <v>0</v>
      </c>
      <c r="I19" s="24" t="n">
        <f aca="false">G19+H19</f>
        <v>9108.76</v>
      </c>
      <c r="J19" s="24" t="n">
        <f aca="false">D19-I19</f>
        <v>0</v>
      </c>
      <c r="K19" s="25" t="s">
        <v>68</v>
      </c>
      <c r="L19" s="25" t="s">
        <v>69</v>
      </c>
    </row>
    <row r="20" customFormat="false" ht="15" hidden="false" customHeight="false" outlineLevel="0" collapsed="false">
      <c r="A20" s="23" t="n">
        <v>4</v>
      </c>
      <c r="B20" s="23" t="s">
        <v>26</v>
      </c>
      <c r="C20" s="23" t="s">
        <v>18</v>
      </c>
      <c r="D20" s="24" t="n">
        <v>23873.41</v>
      </c>
      <c r="E20" s="24" t="n">
        <v>0</v>
      </c>
      <c r="F20" s="24" t="n">
        <v>0</v>
      </c>
      <c r="G20" s="24" t="n">
        <v>1989.44</v>
      </c>
      <c r="H20" s="24" t="n">
        <v>868.12</v>
      </c>
      <c r="I20" s="24" t="n">
        <f aca="false">G20+H20</f>
        <v>2857.56</v>
      </c>
      <c r="J20" s="24" t="n">
        <f aca="false">D20-I20</f>
        <v>21015.85</v>
      </c>
      <c r="K20" s="25" t="s">
        <v>64</v>
      </c>
      <c r="L20" s="25" t="s">
        <v>65</v>
      </c>
    </row>
    <row r="21" customFormat="false" ht="15" hidden="false" customHeight="false" outlineLevel="0" collapsed="false">
      <c r="A21" s="23" t="n">
        <v>5</v>
      </c>
      <c r="B21" s="23" t="s">
        <v>35</v>
      </c>
      <c r="C21" s="23" t="s">
        <v>18</v>
      </c>
      <c r="D21" s="24" t="n">
        <v>17078.94</v>
      </c>
      <c r="E21" s="24" t="n">
        <v>0</v>
      </c>
      <c r="F21" s="24" t="n">
        <v>17078.94</v>
      </c>
      <c r="G21" s="24" t="n">
        <v>17078.94</v>
      </c>
      <c r="H21" s="24" t="n">
        <v>0</v>
      </c>
      <c r="I21" s="24" t="n">
        <f aca="false">G21+H21</f>
        <v>17078.94</v>
      </c>
      <c r="J21" s="24" t="n">
        <f aca="false">D21-I21</f>
        <v>0</v>
      </c>
      <c r="K21" s="25" t="s">
        <v>68</v>
      </c>
      <c r="L21" s="25" t="s">
        <v>69</v>
      </c>
    </row>
    <row r="22" customFormat="false" ht="15" hidden="false" customHeight="false" outlineLevel="0" collapsed="false">
      <c r="A22" s="23" t="n">
        <v>6</v>
      </c>
      <c r="B22" s="23" t="s">
        <v>32</v>
      </c>
      <c r="C22" s="23" t="s">
        <v>18</v>
      </c>
      <c r="D22" s="24" t="n">
        <v>44762.69</v>
      </c>
      <c r="E22" s="24" t="n">
        <v>0</v>
      </c>
      <c r="F22" s="24" t="n">
        <v>0</v>
      </c>
      <c r="G22" s="24" t="n">
        <v>3730.22</v>
      </c>
      <c r="H22" s="24" t="n">
        <v>1627.73</v>
      </c>
      <c r="I22" s="24" t="n">
        <f aca="false">G22+H22</f>
        <v>5357.95</v>
      </c>
      <c r="J22" s="24" t="n">
        <f aca="false">D22-I22</f>
        <v>39404.74</v>
      </c>
      <c r="K22" s="25" t="s">
        <v>64</v>
      </c>
      <c r="L22" s="25" t="s">
        <v>65</v>
      </c>
    </row>
    <row r="23" customFormat="false" ht="15" hidden="false" customHeight="false" outlineLevel="0" collapsed="false">
      <c r="A23" s="26"/>
      <c r="B23" s="27" t="s">
        <v>22</v>
      </c>
      <c r="C23" s="26"/>
      <c r="D23" s="28" t="n">
        <f aca="false">SUM(D17:D22)</f>
        <v>397500.19</v>
      </c>
      <c r="E23" s="28" t="n">
        <f aca="false">SUM(E17:E22)</f>
        <v>0</v>
      </c>
      <c r="F23" s="28" t="n">
        <f aca="false">SUM(F17:F22)</f>
        <v>109778.53</v>
      </c>
      <c r="G23" s="28" t="n">
        <f aca="false">SUM(G17:G22)</f>
        <v>133755.32</v>
      </c>
      <c r="H23" s="28" t="n">
        <f aca="false">SUM(H17:H22)</f>
        <v>10462.6</v>
      </c>
      <c r="I23" s="28" t="n">
        <f aca="false">SUM(I17:I22)</f>
        <v>144217.92</v>
      </c>
      <c r="J23" s="28" t="n">
        <f aca="false">SUM(J17:J22)</f>
        <v>253282.27</v>
      </c>
      <c r="K23" s="26"/>
      <c r="L23" s="26"/>
    </row>
    <row r="25" customFormat="false" ht="15" hidden="false" customHeight="false" outlineLevel="0" collapsed="false">
      <c r="B25" s="18" t="s">
        <v>72</v>
      </c>
    </row>
    <row r="26" customFormat="false" ht="15" hidden="false" customHeight="false" outlineLevel="0" collapsed="false">
      <c r="B26" s="5" t="s">
        <v>73</v>
      </c>
      <c r="D26" s="6" t="n">
        <f aca="false">I13</f>
        <v>131053.31</v>
      </c>
    </row>
    <row r="27" customFormat="false" ht="15" hidden="false" customHeight="false" outlineLevel="0" collapsed="false">
      <c r="B27" s="5" t="s">
        <v>74</v>
      </c>
      <c r="D27" s="6" t="n">
        <f aca="false">I23</f>
        <v>144217.92</v>
      </c>
    </row>
    <row r="28" customFormat="false" ht="15" hidden="false" customHeight="false" outlineLevel="0" collapsed="false">
      <c r="B28" s="11" t="s">
        <v>72</v>
      </c>
      <c r="D28" s="29" t="n">
        <f aca="false">D26-D27</f>
        <v>-13164.61</v>
      </c>
    </row>
    <row r="30" customFormat="false" ht="15" hidden="false" customHeight="false" outlineLevel="0" collapsed="false">
      <c r="A30" s="10" t="s">
        <v>75</v>
      </c>
    </row>
    <row r="31" customFormat="false" ht="15" hidden="false" customHeight="false" outlineLevel="0" collapsed="false">
      <c r="A31" s="21" t="s">
        <v>76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52</v>
      </c>
      <c r="B32" s="4" t="s">
        <v>53</v>
      </c>
      <c r="C32" s="4" t="s">
        <v>54</v>
      </c>
      <c r="D32" s="4" t="s">
        <v>55</v>
      </c>
      <c r="E32" s="4" t="s">
        <v>56</v>
      </c>
      <c r="F32" s="4" t="s">
        <v>57</v>
      </c>
      <c r="G32" s="4" t="s">
        <v>77</v>
      </c>
      <c r="H32" s="4" t="s">
        <v>78</v>
      </c>
      <c r="I32" s="4" t="s">
        <v>60</v>
      </c>
      <c r="J32" s="4" t="s">
        <v>61</v>
      </c>
      <c r="K32" s="4" t="s">
        <v>62</v>
      </c>
      <c r="L32" s="4" t="s">
        <v>63</v>
      </c>
    </row>
    <row r="33" customFormat="false" ht="15" hidden="false" customHeight="false" outlineLevel="0" collapsed="false">
      <c r="A33" s="23" t="n">
        <v>1</v>
      </c>
      <c r="B33" s="23" t="s">
        <v>19</v>
      </c>
      <c r="C33" s="23" t="s">
        <v>18</v>
      </c>
      <c r="D33" s="24" t="n">
        <v>302676.39</v>
      </c>
      <c r="E33" s="24" t="n">
        <v>0</v>
      </c>
      <c r="F33" s="24" t="n">
        <v>0</v>
      </c>
      <c r="G33" s="24" t="n">
        <v>25223.07</v>
      </c>
      <c r="H33" s="24" t="n">
        <v>11006.44</v>
      </c>
      <c r="I33" s="24" t="n">
        <f aca="false">G33+H33</f>
        <v>36229.51</v>
      </c>
      <c r="J33" s="24" t="n">
        <f aca="false">D33-I33</f>
        <v>266446.88</v>
      </c>
      <c r="K33" s="25" t="s">
        <v>64</v>
      </c>
      <c r="L33" s="25" t="s">
        <v>65</v>
      </c>
    </row>
    <row r="34" customFormat="false" ht="15" hidden="false" customHeight="false" outlineLevel="0" collapsed="false">
      <c r="A34" s="23" t="n">
        <v>2</v>
      </c>
      <c r="B34" s="23" t="s">
        <v>20</v>
      </c>
      <c r="C34" s="23" t="s">
        <v>18</v>
      </c>
      <c r="D34" s="24" t="n">
        <v>32982.17</v>
      </c>
      <c r="E34" s="24" t="n">
        <v>0</v>
      </c>
      <c r="F34" s="24" t="n">
        <v>32982.17</v>
      </c>
      <c r="G34" s="24" t="n">
        <v>32982.17</v>
      </c>
      <c r="H34" s="24" t="n">
        <v>0</v>
      </c>
      <c r="I34" s="24" t="n">
        <f aca="false">G34+H34</f>
        <v>32982.17</v>
      </c>
      <c r="J34" s="24" t="n">
        <f aca="false">D34-I34</f>
        <v>0</v>
      </c>
      <c r="K34" s="25" t="s">
        <v>66</v>
      </c>
      <c r="L34" s="25" t="s">
        <v>67</v>
      </c>
    </row>
    <row r="35" customFormat="false" ht="15" hidden="false" customHeight="false" outlineLevel="0" collapsed="false">
      <c r="A35" s="23" t="n">
        <v>3</v>
      </c>
      <c r="B35" s="23" t="s">
        <v>21</v>
      </c>
      <c r="C35" s="23" t="s">
        <v>18</v>
      </c>
      <c r="D35" s="24" t="n">
        <v>61841.63</v>
      </c>
      <c r="E35" s="24" t="n">
        <v>0</v>
      </c>
      <c r="F35" s="24" t="n">
        <v>61841.63</v>
      </c>
      <c r="G35" s="24" t="n">
        <v>61841.63</v>
      </c>
      <c r="H35" s="24" t="n">
        <v>0</v>
      </c>
      <c r="I35" s="24" t="n">
        <f aca="false">G35+H35</f>
        <v>61841.63</v>
      </c>
      <c r="J35" s="24" t="n">
        <f aca="false">D35-I35</f>
        <v>0</v>
      </c>
      <c r="K35" s="25" t="s">
        <v>68</v>
      </c>
      <c r="L35" s="25" t="s">
        <v>69</v>
      </c>
    </row>
    <row r="36" customFormat="false" ht="15" hidden="false" customHeight="false" outlineLevel="0" collapsed="false">
      <c r="A36" s="26"/>
      <c r="B36" s="27" t="s">
        <v>22</v>
      </c>
      <c r="C36" s="26"/>
      <c r="D36" s="28" t="n">
        <f aca="false">SUM(D33:D35)</f>
        <v>397500.19</v>
      </c>
      <c r="E36" s="28" t="n">
        <f aca="false">SUM(E33:E35)</f>
        <v>0</v>
      </c>
      <c r="F36" s="28" t="n">
        <f aca="false">SUM(F33:F35)</f>
        <v>94823.8</v>
      </c>
      <c r="G36" s="28" t="n">
        <f aca="false">SUM(G33:G35)</f>
        <v>120046.87</v>
      </c>
      <c r="H36" s="28" t="n">
        <f aca="false">SUM(H33:H35)</f>
        <v>11006.44</v>
      </c>
      <c r="I36" s="28" t="n">
        <f aca="false">SUM(I33:I35)</f>
        <v>131053.31</v>
      </c>
      <c r="J36" s="28" t="n">
        <f aca="false">SUM(J33:J35)</f>
        <v>266446.88</v>
      </c>
      <c r="K36" s="26"/>
      <c r="L36" s="26"/>
    </row>
    <row r="38" customFormat="false" ht="15" hidden="false" customHeight="false" outlineLevel="0" collapsed="false">
      <c r="A38" s="21" t="s">
        <v>79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52</v>
      </c>
      <c r="B39" s="4" t="s">
        <v>53</v>
      </c>
      <c r="C39" s="4" t="s">
        <v>54</v>
      </c>
      <c r="D39" s="4" t="s">
        <v>55</v>
      </c>
      <c r="E39" s="4" t="s">
        <v>56</v>
      </c>
      <c r="F39" s="4" t="s">
        <v>57</v>
      </c>
      <c r="G39" s="4" t="s">
        <v>77</v>
      </c>
      <c r="H39" s="4" t="s">
        <v>78</v>
      </c>
      <c r="I39" s="4" t="s">
        <v>60</v>
      </c>
      <c r="J39" s="4" t="s">
        <v>61</v>
      </c>
      <c r="K39" s="4" t="s">
        <v>62</v>
      </c>
      <c r="L39" s="4" t="s">
        <v>63</v>
      </c>
    </row>
    <row r="40" customFormat="false" ht="15" hidden="false" customHeight="false" outlineLevel="0" collapsed="false">
      <c r="A40" s="23" t="n">
        <v>1</v>
      </c>
      <c r="B40" s="23" t="s">
        <v>33</v>
      </c>
      <c r="C40" s="23" t="s">
        <v>18</v>
      </c>
      <c r="D40" s="24" t="n">
        <v>83590.83</v>
      </c>
      <c r="E40" s="24" t="n">
        <v>0</v>
      </c>
      <c r="F40" s="24" t="n">
        <v>83590.83</v>
      </c>
      <c r="G40" s="24" t="n">
        <v>83590.83</v>
      </c>
      <c r="H40" s="24" t="n">
        <v>0</v>
      </c>
      <c r="I40" s="24" t="n">
        <f aca="false">G40+H40</f>
        <v>83590.83</v>
      </c>
      <c r="J40" s="24" t="n">
        <f aca="false">D40-I40</f>
        <v>0</v>
      </c>
      <c r="K40" s="25" t="s">
        <v>68</v>
      </c>
      <c r="L40" s="25" t="s">
        <v>69</v>
      </c>
    </row>
    <row r="41" customFormat="false" ht="15" hidden="false" customHeight="false" outlineLevel="0" collapsed="false">
      <c r="A41" s="23" t="n">
        <v>2</v>
      </c>
      <c r="B41" s="23" t="s">
        <v>26</v>
      </c>
      <c r="C41" s="23" t="s">
        <v>18</v>
      </c>
      <c r="D41" s="24" t="n">
        <v>219085.56</v>
      </c>
      <c r="E41" s="24" t="n">
        <v>0</v>
      </c>
      <c r="F41" s="24" t="n">
        <v>0</v>
      </c>
      <c r="G41" s="24" t="n">
        <v>18257.13</v>
      </c>
      <c r="H41" s="24" t="n">
        <v>7966.75</v>
      </c>
      <c r="I41" s="24" t="n">
        <f aca="false">G41+H41</f>
        <v>26223.88</v>
      </c>
      <c r="J41" s="24" t="n">
        <f aca="false">D41-I41</f>
        <v>192861.68</v>
      </c>
      <c r="K41" s="25" t="s">
        <v>64</v>
      </c>
      <c r="L41" s="25" t="s">
        <v>65</v>
      </c>
    </row>
    <row r="42" customFormat="false" ht="15" hidden="false" customHeight="false" outlineLevel="0" collapsed="false">
      <c r="A42" s="23" t="n">
        <v>3</v>
      </c>
      <c r="B42" s="23" t="s">
        <v>34</v>
      </c>
      <c r="C42" s="23" t="s">
        <v>18</v>
      </c>
      <c r="D42" s="24" t="n">
        <v>9108.76</v>
      </c>
      <c r="E42" s="24" t="n">
        <v>0</v>
      </c>
      <c r="F42" s="24" t="n">
        <v>9108.76</v>
      </c>
      <c r="G42" s="24" t="n">
        <v>9108.76</v>
      </c>
      <c r="H42" s="24" t="n">
        <v>0</v>
      </c>
      <c r="I42" s="24" t="n">
        <f aca="false">G42+H42</f>
        <v>9108.76</v>
      </c>
      <c r="J42" s="24" t="n">
        <f aca="false">D42-I42</f>
        <v>0</v>
      </c>
      <c r="K42" s="25" t="s">
        <v>68</v>
      </c>
      <c r="L42" s="25" t="s">
        <v>69</v>
      </c>
    </row>
    <row r="43" customFormat="false" ht="15" hidden="false" customHeight="false" outlineLevel="0" collapsed="false">
      <c r="A43" s="23" t="n">
        <v>4</v>
      </c>
      <c r="B43" s="23" t="s">
        <v>26</v>
      </c>
      <c r="C43" s="23" t="s">
        <v>18</v>
      </c>
      <c r="D43" s="24" t="n">
        <v>23873.41</v>
      </c>
      <c r="E43" s="24" t="n">
        <v>0</v>
      </c>
      <c r="F43" s="24" t="n">
        <v>0</v>
      </c>
      <c r="G43" s="24" t="n">
        <v>1989.44</v>
      </c>
      <c r="H43" s="24" t="n">
        <v>868.12</v>
      </c>
      <c r="I43" s="24" t="n">
        <f aca="false">G43+H43</f>
        <v>2857.56</v>
      </c>
      <c r="J43" s="24" t="n">
        <f aca="false">D43-I43</f>
        <v>21015.85</v>
      </c>
      <c r="K43" s="25" t="s">
        <v>64</v>
      </c>
      <c r="L43" s="25" t="s">
        <v>65</v>
      </c>
    </row>
    <row r="44" customFormat="false" ht="15" hidden="false" customHeight="false" outlineLevel="0" collapsed="false">
      <c r="A44" s="23" t="n">
        <v>5</v>
      </c>
      <c r="B44" s="23" t="s">
        <v>35</v>
      </c>
      <c r="C44" s="23" t="s">
        <v>18</v>
      </c>
      <c r="D44" s="24" t="n">
        <v>17078.94</v>
      </c>
      <c r="E44" s="24" t="n">
        <v>0</v>
      </c>
      <c r="F44" s="24" t="n">
        <v>17078.94</v>
      </c>
      <c r="G44" s="24" t="n">
        <v>17078.94</v>
      </c>
      <c r="H44" s="24" t="n">
        <v>0</v>
      </c>
      <c r="I44" s="24" t="n">
        <f aca="false">G44+H44</f>
        <v>17078.94</v>
      </c>
      <c r="J44" s="24" t="n">
        <f aca="false">D44-I44</f>
        <v>0</v>
      </c>
      <c r="K44" s="25" t="s">
        <v>68</v>
      </c>
      <c r="L44" s="25" t="s">
        <v>69</v>
      </c>
    </row>
    <row r="45" customFormat="false" ht="15" hidden="false" customHeight="false" outlineLevel="0" collapsed="false">
      <c r="A45" s="23" t="n">
        <v>6</v>
      </c>
      <c r="B45" s="23" t="s">
        <v>32</v>
      </c>
      <c r="C45" s="23" t="s">
        <v>18</v>
      </c>
      <c r="D45" s="24" t="n">
        <v>44762.69</v>
      </c>
      <c r="E45" s="24" t="n">
        <v>0</v>
      </c>
      <c r="F45" s="24" t="n">
        <v>0</v>
      </c>
      <c r="G45" s="24" t="n">
        <v>3730.22</v>
      </c>
      <c r="H45" s="24" t="n">
        <v>1627.73</v>
      </c>
      <c r="I45" s="24" t="n">
        <f aca="false">G45+H45</f>
        <v>5357.95</v>
      </c>
      <c r="J45" s="24" t="n">
        <f aca="false">D45-I45</f>
        <v>39404.74</v>
      </c>
      <c r="K45" s="25" t="s">
        <v>64</v>
      </c>
      <c r="L45" s="25" t="s">
        <v>65</v>
      </c>
    </row>
    <row r="46" customFormat="false" ht="15" hidden="false" customHeight="false" outlineLevel="0" collapsed="false">
      <c r="A46" s="26"/>
      <c r="B46" s="27" t="s">
        <v>22</v>
      </c>
      <c r="C46" s="26"/>
      <c r="D46" s="28" t="n">
        <f aca="false">SUM(D40:D45)</f>
        <v>397500.19</v>
      </c>
      <c r="E46" s="28" t="n">
        <f aca="false">SUM(E40:E45)</f>
        <v>0</v>
      </c>
      <c r="F46" s="28" t="n">
        <f aca="false">SUM(F40:F45)</f>
        <v>109778.53</v>
      </c>
      <c r="G46" s="28" t="n">
        <f aca="false">SUM(G40:G45)</f>
        <v>133755.32</v>
      </c>
      <c r="H46" s="28" t="n">
        <f aca="false">SUM(H40:H45)</f>
        <v>10462.6</v>
      </c>
      <c r="I46" s="28" t="n">
        <f aca="false">SUM(I40:I45)</f>
        <v>144217.92</v>
      </c>
      <c r="J46" s="28" t="n">
        <f aca="false">SUM(J40:J45)</f>
        <v>253282.27</v>
      </c>
      <c r="K46" s="26"/>
      <c r="L46" s="26"/>
    </row>
    <row r="48" customFormat="false" ht="15" hidden="false" customHeight="false" outlineLevel="0" collapsed="false">
      <c r="B48" s="18" t="s">
        <v>80</v>
      </c>
    </row>
    <row r="49" customFormat="false" ht="15" hidden="false" customHeight="false" outlineLevel="0" collapsed="false">
      <c r="B49" s="5" t="s">
        <v>73</v>
      </c>
      <c r="D49" s="6" t="n">
        <f aca="false">I36</f>
        <v>131053.31</v>
      </c>
    </row>
    <row r="50" customFormat="false" ht="15" hidden="false" customHeight="false" outlineLevel="0" collapsed="false">
      <c r="B50" s="5" t="s">
        <v>74</v>
      </c>
      <c r="D50" s="6" t="n">
        <f aca="false">I46</f>
        <v>144217.92</v>
      </c>
    </row>
    <row r="51" customFormat="false" ht="15" hidden="false" customHeight="false" outlineLevel="0" collapsed="false">
      <c r="B51" s="11" t="s">
        <v>80</v>
      </c>
      <c r="D51" s="29" t="n">
        <f aca="false">D49-D50</f>
        <v>-13164.61</v>
      </c>
    </row>
    <row r="53" customFormat="false" ht="15" hidden="false" customHeight="false" outlineLevel="0" collapsed="false">
      <c r="A53" s="10" t="s">
        <v>81</v>
      </c>
    </row>
    <row r="54" customFormat="false" ht="15" hidden="false" customHeight="false" outlineLevel="0" collapsed="false">
      <c r="B54" s="11" t="s">
        <v>115</v>
      </c>
      <c r="D54" s="12" t="n">
        <f aca="false">D94</f>
        <v>397500.19</v>
      </c>
    </row>
    <row r="55" customFormat="false" ht="15" hidden="false" customHeight="false" outlineLevel="0" collapsed="false">
      <c r="B55" s="5" t="s">
        <v>116</v>
      </c>
      <c r="D55" s="6" t="n">
        <f aca="false">F94</f>
        <v>109778.53</v>
      </c>
    </row>
    <row r="56" customFormat="false" ht="15" hidden="false" customHeight="false" outlineLevel="0" collapsed="false">
      <c r="B56" s="30" t="s">
        <v>84</v>
      </c>
      <c r="D56" s="31" t="n">
        <f aca="false">F95</f>
        <v>0.276172270508852</v>
      </c>
    </row>
    <row r="57" customFormat="false" ht="15" hidden="false" customHeight="false" outlineLevel="0" collapsed="false">
      <c r="B57" s="5" t="s">
        <v>117</v>
      </c>
      <c r="D57" s="6" t="n">
        <f aca="false">H94</f>
        <v>287721.66</v>
      </c>
    </row>
    <row r="58" customFormat="false" ht="15" hidden="false" customHeight="false" outlineLevel="0" collapsed="false">
      <c r="B58" s="30" t="s">
        <v>84</v>
      </c>
      <c r="D58" s="31" t="n">
        <f aca="false">H95</f>
        <v>0.723827729491148</v>
      </c>
    </row>
    <row r="60" customFormat="false" ht="15" hidden="false" customHeight="false" outlineLevel="0" collapsed="false">
      <c r="A60" s="10" t="s">
        <v>87</v>
      </c>
    </row>
    <row r="61" customFormat="false" ht="15" hidden="false" customHeight="false" outlineLevel="0" collapsed="false">
      <c r="B61" s="4" t="s">
        <v>88</v>
      </c>
      <c r="D61" s="4" t="s">
        <v>55</v>
      </c>
      <c r="F61" s="4" t="s">
        <v>118</v>
      </c>
      <c r="H61" s="4" t="s">
        <v>91</v>
      </c>
    </row>
    <row r="62" customFormat="false" ht="15" hidden="false" customHeight="false" outlineLevel="0" collapsed="false">
      <c r="B62" s="32" t="s">
        <v>119</v>
      </c>
    </row>
    <row r="63" customFormat="false" ht="15" hidden="false" customHeight="false" outlineLevel="0" collapsed="false">
      <c r="B63" s="5" t="s">
        <v>120</v>
      </c>
      <c r="D63" s="33" t="n">
        <f aca="false">SUM(F63:H63)</f>
        <v>26445.19</v>
      </c>
      <c r="F63" s="33" t="n">
        <v>26445.19</v>
      </c>
    </row>
    <row r="64" customFormat="false" ht="15" hidden="false" customHeight="false" outlineLevel="0" collapsed="false">
      <c r="B64" s="5" t="s">
        <v>121</v>
      </c>
      <c r="D64" s="33" t="n">
        <f aca="false">SUM(F64:H64)</f>
        <v>4635.69</v>
      </c>
      <c r="F64" s="33" t="n">
        <v>4635.69</v>
      </c>
    </row>
    <row r="65" customFormat="false" ht="15" hidden="false" customHeight="false" outlineLevel="0" collapsed="false">
      <c r="B65" s="5" t="s">
        <v>151</v>
      </c>
      <c r="D65" s="33" t="n">
        <f aca="false">SUM(F65:H65)</f>
        <v>9118.09</v>
      </c>
      <c r="F65" s="33" t="n">
        <v>9118.09</v>
      </c>
    </row>
    <row r="66" customFormat="false" ht="15" hidden="false" customHeight="false" outlineLevel="0" collapsed="false">
      <c r="B66" s="5" t="s">
        <v>122</v>
      </c>
      <c r="D66" s="33" t="n">
        <f aca="false">SUM(F66:H66)</f>
        <v>17166.07</v>
      </c>
      <c r="F66" s="33" t="n">
        <v>17166.07</v>
      </c>
    </row>
    <row r="67" customFormat="false" ht="15" hidden="false" customHeight="false" outlineLevel="0" collapsed="false">
      <c r="B67" s="5" t="s">
        <v>123</v>
      </c>
      <c r="D67" s="33" t="n">
        <f aca="false">SUM(F67:H67)</f>
        <v>2842.52</v>
      </c>
      <c r="F67" s="33" t="n">
        <v>2842.52</v>
      </c>
    </row>
    <row r="68" customFormat="false" ht="15" hidden="false" customHeight="false" outlineLevel="0" collapsed="false">
      <c r="B68" s="5" t="s">
        <v>124</v>
      </c>
      <c r="D68" s="33" t="n">
        <f aca="false">SUM(F68:H68)</f>
        <v>2418.44</v>
      </c>
      <c r="F68" s="33" t="n">
        <v>2418.44</v>
      </c>
    </row>
    <row r="69" customFormat="false" ht="15" hidden="false" customHeight="false" outlineLevel="0" collapsed="false">
      <c r="B69" s="5" t="s">
        <v>125</v>
      </c>
      <c r="D69" s="33" t="n">
        <f aca="false">SUM(F69:H69)</f>
        <v>718.3</v>
      </c>
      <c r="F69" s="33" t="n">
        <v>718.3</v>
      </c>
    </row>
    <row r="70" customFormat="false" ht="15" hidden="false" customHeight="false" outlineLevel="0" collapsed="false">
      <c r="B70" s="5" t="s">
        <v>126</v>
      </c>
      <c r="D70" s="33" t="n">
        <f aca="false">SUM(F70:H70)</f>
        <v>705.03</v>
      </c>
      <c r="F70" s="33" t="n">
        <v>705.03</v>
      </c>
    </row>
    <row r="71" customFormat="false" ht="15" hidden="false" customHeight="false" outlineLevel="0" collapsed="false">
      <c r="B71" s="5" t="s">
        <v>127</v>
      </c>
      <c r="D71" s="33" t="n">
        <f aca="false">SUM(F71:H71)</f>
        <v>12363.8</v>
      </c>
      <c r="F71" s="33" t="n">
        <v>12363.8</v>
      </c>
    </row>
    <row r="72" customFormat="false" ht="15" hidden="false" customHeight="false" outlineLevel="0" collapsed="false">
      <c r="B72" s="5" t="s">
        <v>128</v>
      </c>
      <c r="D72" s="33" t="n">
        <f aca="false">SUM(F72:H72)</f>
        <v>2600.58</v>
      </c>
      <c r="F72" s="33" t="n">
        <v>2600.58</v>
      </c>
    </row>
    <row r="73" customFormat="false" ht="15" hidden="false" customHeight="false" outlineLevel="0" collapsed="false">
      <c r="B73" s="5" t="s">
        <v>129</v>
      </c>
      <c r="D73" s="33" t="n">
        <f aca="false">SUM(F73:H73)</f>
        <v>13431.92</v>
      </c>
      <c r="F73" s="33" t="n">
        <v>13431.92</v>
      </c>
    </row>
    <row r="74" customFormat="false" ht="15" hidden="false" customHeight="false" outlineLevel="0" collapsed="false">
      <c r="B74" s="5" t="s">
        <v>130</v>
      </c>
      <c r="D74" s="33" t="n">
        <f aca="false">SUM(F74:H74)</f>
        <v>1140.5</v>
      </c>
      <c r="F74" s="33" t="n">
        <v>1140.5</v>
      </c>
    </row>
    <row r="75" customFormat="false" ht="15" hidden="false" customHeight="false" outlineLevel="0" collapsed="false">
      <c r="B75" s="5" t="s">
        <v>131</v>
      </c>
      <c r="D75" s="33" t="n">
        <f aca="false">SUM(F75:H75)</f>
        <v>1360.86</v>
      </c>
      <c r="F75" s="33" t="n">
        <v>1360.86</v>
      </c>
    </row>
    <row r="76" customFormat="false" ht="15" hidden="false" customHeight="false" outlineLevel="0" collapsed="false">
      <c r="B76" s="5" t="s">
        <v>132</v>
      </c>
      <c r="D76" s="33" t="n">
        <f aca="false">SUM(F76:H76)</f>
        <v>14831.54</v>
      </c>
      <c r="F76" s="33" t="n">
        <v>14831.54</v>
      </c>
    </row>
    <row r="77" customFormat="false" ht="15" hidden="false" customHeight="false" outlineLevel="0" collapsed="false">
      <c r="B77" s="32" t="s">
        <v>133</v>
      </c>
    </row>
    <row r="78" customFormat="false" ht="15" hidden="false" customHeight="false" outlineLevel="0" collapsed="false">
      <c r="B78" s="5" t="s">
        <v>134</v>
      </c>
      <c r="D78" s="33" t="n">
        <f aca="false">SUM(F78:H78)</f>
        <v>19166.81</v>
      </c>
      <c r="H78" s="33" t="n">
        <v>19166.81</v>
      </c>
    </row>
    <row r="79" customFormat="false" ht="15" hidden="false" customHeight="false" outlineLevel="0" collapsed="false">
      <c r="B79" s="5" t="s">
        <v>135</v>
      </c>
      <c r="D79" s="33" t="n">
        <f aca="false">SUM(F79:H79)</f>
        <v>26894.18</v>
      </c>
      <c r="H79" s="33" t="n">
        <v>26894.18</v>
      </c>
    </row>
    <row r="80" customFormat="false" ht="15" hidden="false" customHeight="false" outlineLevel="0" collapsed="false">
      <c r="B80" s="5" t="s">
        <v>136</v>
      </c>
      <c r="D80" s="33" t="n">
        <f aca="false">SUM(F80:H80)</f>
        <v>19273.71</v>
      </c>
      <c r="H80" s="33" t="n">
        <v>19273.71</v>
      </c>
    </row>
    <row r="81" customFormat="false" ht="15" hidden="false" customHeight="false" outlineLevel="0" collapsed="false">
      <c r="B81" s="5" t="s">
        <v>137</v>
      </c>
      <c r="D81" s="33" t="n">
        <f aca="false">SUM(F81:H81)</f>
        <v>24003.39</v>
      </c>
      <c r="H81" s="33" t="n">
        <v>24003.39</v>
      </c>
    </row>
    <row r="82" customFormat="false" ht="15" hidden="false" customHeight="false" outlineLevel="0" collapsed="false">
      <c r="B82" s="5" t="s">
        <v>138</v>
      </c>
      <c r="D82" s="33" t="n">
        <f aca="false">SUM(F82:H82)</f>
        <v>23233.4</v>
      </c>
      <c r="H82" s="33" t="n">
        <v>23233.4</v>
      </c>
    </row>
    <row r="83" customFormat="false" ht="15" hidden="false" customHeight="false" outlineLevel="0" collapsed="false">
      <c r="B83" s="5" t="s">
        <v>139</v>
      </c>
      <c r="D83" s="33" t="n">
        <f aca="false">SUM(F83:H83)</f>
        <v>8832.92</v>
      </c>
      <c r="H83" s="33" t="n">
        <v>8832.92</v>
      </c>
    </row>
    <row r="84" customFormat="false" ht="15" hidden="false" customHeight="false" outlineLevel="0" collapsed="false">
      <c r="B84" s="5" t="s">
        <v>140</v>
      </c>
      <c r="D84" s="33" t="n">
        <f aca="false">SUM(F84:H84)</f>
        <v>17315.31</v>
      </c>
      <c r="H84" s="33" t="n">
        <v>17315.31</v>
      </c>
    </row>
    <row r="85" customFormat="false" ht="15" hidden="false" customHeight="false" outlineLevel="0" collapsed="false">
      <c r="B85" s="5" t="s">
        <v>141</v>
      </c>
      <c r="D85" s="33" t="n">
        <f aca="false">SUM(F85:H85)</f>
        <v>10659.46</v>
      </c>
      <c r="H85" s="33" t="n">
        <v>10659.46</v>
      </c>
    </row>
    <row r="86" customFormat="false" ht="15" hidden="false" customHeight="false" outlineLevel="0" collapsed="false">
      <c r="B86" s="5" t="s">
        <v>142</v>
      </c>
      <c r="D86" s="33" t="n">
        <f aca="false">SUM(F86:H86)</f>
        <v>12873.87</v>
      </c>
      <c r="H86" s="33" t="n">
        <v>12873.87</v>
      </c>
    </row>
    <row r="87" customFormat="false" ht="15" hidden="false" customHeight="false" outlineLevel="0" collapsed="false">
      <c r="B87" s="5" t="s">
        <v>143</v>
      </c>
      <c r="D87" s="33" t="n">
        <f aca="false">SUM(F87:H87)</f>
        <v>29302.11</v>
      </c>
      <c r="H87" s="33" t="n">
        <v>29302.11</v>
      </c>
    </row>
    <row r="88" customFormat="false" ht="15" hidden="false" customHeight="false" outlineLevel="0" collapsed="false">
      <c r="B88" s="5" t="s">
        <v>144</v>
      </c>
      <c r="D88" s="33" t="n">
        <f aca="false">SUM(F88:H88)</f>
        <v>11976.41</v>
      </c>
      <c r="H88" s="33" t="n">
        <v>11976.41</v>
      </c>
    </row>
    <row r="89" customFormat="false" ht="15" hidden="false" customHeight="false" outlineLevel="0" collapsed="false">
      <c r="B89" s="5" t="s">
        <v>145</v>
      </c>
      <c r="D89" s="33" t="n">
        <f aca="false">SUM(F89:H89)</f>
        <v>1737.32</v>
      </c>
      <c r="H89" s="33" t="n">
        <v>1737.32</v>
      </c>
    </row>
    <row r="90" customFormat="false" ht="15" hidden="false" customHeight="false" outlineLevel="0" collapsed="false">
      <c r="B90" s="5" t="s">
        <v>146</v>
      </c>
      <c r="D90" s="33" t="n">
        <f aca="false">SUM(F90:H90)</f>
        <v>63061.18</v>
      </c>
      <c r="H90" s="33" t="n">
        <v>63061.18</v>
      </c>
    </row>
    <row r="91" customFormat="false" ht="15" hidden="false" customHeight="false" outlineLevel="0" collapsed="false">
      <c r="B91" s="5" t="s">
        <v>147</v>
      </c>
      <c r="D91" s="33" t="n">
        <f aca="false">SUM(F91:H91)</f>
        <v>10815.9</v>
      </c>
      <c r="H91" s="33" t="n">
        <v>10815.9</v>
      </c>
    </row>
    <row r="92" customFormat="false" ht="15" hidden="false" customHeight="false" outlineLevel="0" collapsed="false">
      <c r="B92" s="5" t="s">
        <v>148</v>
      </c>
      <c r="D92" s="33" t="n">
        <f aca="false">SUM(F92:H92)</f>
        <v>5272.42</v>
      </c>
      <c r="H92" s="33" t="n">
        <v>5272.42</v>
      </c>
    </row>
    <row r="93" customFormat="false" ht="15" hidden="false" customHeight="false" outlineLevel="0" collapsed="false">
      <c r="B93" s="5" t="s">
        <v>149</v>
      </c>
      <c r="D93" s="33" t="n">
        <f aca="false">SUM(F93:H93)</f>
        <v>3303.27</v>
      </c>
      <c r="H93" s="33" t="n">
        <v>3303.27</v>
      </c>
    </row>
    <row r="94" customFormat="false" ht="15" hidden="false" customHeight="false" outlineLevel="0" collapsed="false">
      <c r="B94" s="11" t="s">
        <v>115</v>
      </c>
      <c r="D94" s="34" t="n">
        <f aca="false">SUM(D62:D93)</f>
        <v>397500.19</v>
      </c>
      <c r="F94" s="34" t="n">
        <f aca="false">SUM(F62:F93)</f>
        <v>109778.53</v>
      </c>
      <c r="H94" s="34" t="n">
        <f aca="false">SUM(H62:H93)</f>
        <v>287721.66</v>
      </c>
    </row>
    <row r="95" customFormat="false" ht="15" hidden="false" customHeight="false" outlineLevel="0" collapsed="false">
      <c r="B95" s="30" t="s">
        <v>84</v>
      </c>
      <c r="F95" s="31" t="n">
        <f aca="false">F94/D94</f>
        <v>0.276172270508852</v>
      </c>
      <c r="H95" s="31" t="n">
        <f aca="false">H94/D94</f>
        <v>0.723827729491148</v>
      </c>
    </row>
    <row r="97" customFormat="false" ht="15" hidden="false" customHeight="false" outlineLevel="0" collapsed="false">
      <c r="A97" s="10" t="s">
        <v>110</v>
      </c>
    </row>
    <row r="98" customFormat="false" ht="15" hidden="false" customHeight="false" outlineLevel="0" collapsed="false">
      <c r="B98" s="4" t="s">
        <v>111</v>
      </c>
      <c r="D98" s="4" t="s">
        <v>55</v>
      </c>
      <c r="F98" s="4" t="s">
        <v>118</v>
      </c>
      <c r="H98" s="4" t="s">
        <v>91</v>
      </c>
    </row>
    <row r="99" customFormat="false" ht="15" hidden="false" customHeight="false" outlineLevel="0" collapsed="false">
      <c r="B99" s="5" t="str">
        <f aca="false">'Bldg 4'!B17</f>
        <v>2-Building-5yr</v>
      </c>
      <c r="D99" s="33" t="n">
        <f aca="false">SUM(F99:H99)</f>
        <v>83590.83</v>
      </c>
      <c r="F99" s="33" t="n">
        <f aca="false">'Bldg 4'!D17</f>
        <v>83590.83</v>
      </c>
    </row>
    <row r="100" customFormat="false" ht="15" hidden="false" customHeight="false" outlineLevel="0" collapsed="false">
      <c r="B100" s="5" t="str">
        <f aca="false">'Bldg 4'!B18</f>
        <v>2-Building-27.5yr</v>
      </c>
      <c r="D100" s="33" t="n">
        <f aca="false">SUM(F100:H100)</f>
        <v>219085.56</v>
      </c>
      <c r="H100" s="33" t="n">
        <f aca="false">'Bldg 4'!D18</f>
        <v>219085.56</v>
      </c>
    </row>
    <row r="101" customFormat="false" ht="15" hidden="false" customHeight="false" outlineLevel="0" collapsed="false">
      <c r="B101" s="5" t="str">
        <f aca="false">'Bldg 4'!B19</f>
        <v>3-Land Improvements-5yr</v>
      </c>
      <c r="D101" s="33" t="n">
        <f aca="false">SUM(F101:H101)</f>
        <v>9108.76</v>
      </c>
      <c r="F101" s="33" t="n">
        <f aca="false">'Bldg 4'!D19</f>
        <v>9108.76</v>
      </c>
    </row>
    <row r="102" customFormat="false" ht="15" hidden="false" customHeight="false" outlineLevel="0" collapsed="false">
      <c r="B102" s="5" t="str">
        <f aca="false">'Bldg 4'!B20</f>
        <v>2-Building-27.5yr</v>
      </c>
      <c r="D102" s="33" t="n">
        <f aca="false">SUM(F102:H102)</f>
        <v>23873.41</v>
      </c>
      <c r="H102" s="33" t="n">
        <f aca="false">'Bldg 4'!D20</f>
        <v>23873.41</v>
      </c>
    </row>
    <row r="103" customFormat="false" ht="15" hidden="false" customHeight="false" outlineLevel="0" collapsed="false">
      <c r="B103" s="5" t="str">
        <f aca="false">'Bldg 4'!B21</f>
        <v>4-Equipment-5yr</v>
      </c>
      <c r="D103" s="33" t="n">
        <f aca="false">SUM(F103:H103)</f>
        <v>17078.94</v>
      </c>
      <c r="F103" s="33" t="n">
        <f aca="false">'Bldg 4'!D21</f>
        <v>17078.94</v>
      </c>
    </row>
    <row r="104" customFormat="false" ht="15" hidden="false" customHeight="false" outlineLevel="0" collapsed="false">
      <c r="B104" s="5" t="str">
        <f aca="false">'Bldg 4'!B22</f>
        <v>4-Equipment-27.5yr</v>
      </c>
      <c r="D104" s="33" t="n">
        <f aca="false">SUM(F104:H104)</f>
        <v>44762.69</v>
      </c>
      <c r="H104" s="33" t="n">
        <f aca="false">'Bldg 4'!D22</f>
        <v>44762.69</v>
      </c>
    </row>
    <row r="105" customFormat="false" ht="15" hidden="false" customHeight="false" outlineLevel="0" collapsed="false">
      <c r="B105" s="11" t="s">
        <v>112</v>
      </c>
      <c r="D105" s="34" t="n">
        <f aca="false">SUM(D99:D104)</f>
        <v>397500.19</v>
      </c>
      <c r="F105" s="34" t="n">
        <f aca="false">SUM(F99:F104)</f>
        <v>109778.53</v>
      </c>
      <c r="H105" s="34" t="n">
        <f aca="false">SUM(H99:H104)</f>
        <v>287721.66</v>
      </c>
    </row>
    <row r="106" customFormat="false" ht="15" hidden="false" customHeight="false" outlineLevel="0" collapsed="false">
      <c r="B106" s="16" t="s">
        <v>113</v>
      </c>
      <c r="D106" s="17" t="n">
        <f aca="false">D105-D94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154</v>
      </c>
    </row>
    <row r="5" customFormat="false" ht="15" hidden="false" customHeight="false" outlineLevel="0" collapsed="false">
      <c r="A5" s="16" t="s">
        <v>49</v>
      </c>
    </row>
    <row r="7" customFormat="false" ht="15" hidden="false" customHeight="false" outlineLevel="0" collapsed="false">
      <c r="A7" s="10" t="s">
        <v>50</v>
      </c>
    </row>
    <row r="8" customFormat="false" ht="15" hidden="false" customHeight="false" outlineLevel="0" collapsed="false">
      <c r="A8" s="21" t="s">
        <v>51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18</v>
      </c>
      <c r="D10" s="24" t="n">
        <v>383408.73</v>
      </c>
      <c r="E10" s="24" t="n">
        <v>0</v>
      </c>
      <c r="F10" s="24" t="n">
        <v>0</v>
      </c>
      <c r="G10" s="24" t="n">
        <v>31950.77</v>
      </c>
      <c r="H10" s="24" t="n">
        <v>13942.17</v>
      </c>
      <c r="I10" s="24" t="n">
        <f aca="false">G10+H10</f>
        <v>45892.94</v>
      </c>
      <c r="J10" s="24" t="n">
        <f aca="false">D10-I10</f>
        <v>337515.79</v>
      </c>
      <c r="K10" s="25" t="s">
        <v>64</v>
      </c>
      <c r="L10" s="25" t="s">
        <v>65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18</v>
      </c>
      <c r="D11" s="24" t="n">
        <v>41779.44</v>
      </c>
      <c r="E11" s="24" t="n">
        <v>0</v>
      </c>
      <c r="F11" s="24" t="n">
        <v>41779.44</v>
      </c>
      <c r="G11" s="24" t="n">
        <v>41779.44</v>
      </c>
      <c r="H11" s="24" t="n">
        <v>0</v>
      </c>
      <c r="I11" s="24" t="n">
        <f aca="false">G11+H11</f>
        <v>41779.44</v>
      </c>
      <c r="J11" s="24" t="n">
        <f aca="false">D11-I11</f>
        <v>0</v>
      </c>
      <c r="K11" s="25" t="s">
        <v>66</v>
      </c>
      <c r="L11" s="25" t="s">
        <v>67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18</v>
      </c>
      <c r="D12" s="24" t="n">
        <v>78336.54</v>
      </c>
      <c r="E12" s="24" t="n">
        <v>0</v>
      </c>
      <c r="F12" s="24" t="n">
        <v>78336.54</v>
      </c>
      <c r="G12" s="24" t="n">
        <v>78336.54</v>
      </c>
      <c r="H12" s="24" t="n">
        <v>0</v>
      </c>
      <c r="I12" s="24" t="n">
        <f aca="false">G12+H12</f>
        <v>78336.54</v>
      </c>
      <c r="J12" s="24" t="n">
        <f aca="false">D12-I12</f>
        <v>0</v>
      </c>
      <c r="K12" s="25" t="s">
        <v>68</v>
      </c>
      <c r="L12" s="25" t="s">
        <v>69</v>
      </c>
    </row>
    <row r="13" customFormat="false" ht="15" hidden="false" customHeight="false" outlineLevel="0" collapsed="false">
      <c r="A13" s="26"/>
      <c r="B13" s="27" t="s">
        <v>22</v>
      </c>
      <c r="C13" s="26"/>
      <c r="D13" s="28" t="n">
        <f aca="false">SUM(D10:D12)</f>
        <v>503524.71</v>
      </c>
      <c r="E13" s="28" t="n">
        <f aca="false">SUM(E10:E12)</f>
        <v>0</v>
      </c>
      <c r="F13" s="28" t="n">
        <f aca="false">SUM(F10:F12)</f>
        <v>120115.98</v>
      </c>
      <c r="G13" s="28" t="n">
        <f aca="false">SUM(G10:G12)</f>
        <v>152066.75</v>
      </c>
      <c r="H13" s="28" t="n">
        <f aca="false">SUM(H10:H12)</f>
        <v>13942.17</v>
      </c>
      <c r="I13" s="28" t="n">
        <f aca="false">SUM(I10:I12)</f>
        <v>166008.92</v>
      </c>
      <c r="J13" s="28" t="n">
        <f aca="false">SUM(J10:J12)</f>
        <v>337515.79</v>
      </c>
      <c r="K13" s="26"/>
      <c r="L13" s="26"/>
    </row>
    <row r="15" customFormat="false" ht="15" hidden="false" customHeight="false" outlineLevel="0" collapsed="false">
      <c r="A15" s="21" t="s">
        <v>70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52</v>
      </c>
      <c r="B16" s="4" t="s">
        <v>53</v>
      </c>
      <c r="C16" s="4" t="s">
        <v>54</v>
      </c>
      <c r="D16" s="4" t="s">
        <v>55</v>
      </c>
      <c r="E16" s="4" t="s">
        <v>56</v>
      </c>
      <c r="F16" s="4" t="s">
        <v>57</v>
      </c>
      <c r="G16" s="4" t="s">
        <v>58</v>
      </c>
      <c r="H16" s="4" t="s">
        <v>59</v>
      </c>
      <c r="I16" s="4" t="s">
        <v>60</v>
      </c>
      <c r="J16" s="4" t="s">
        <v>61</v>
      </c>
      <c r="K16" s="4" t="s">
        <v>62</v>
      </c>
      <c r="L16" s="4" t="s">
        <v>63</v>
      </c>
    </row>
    <row r="17" customFormat="false" ht="15" hidden="false" customHeight="false" outlineLevel="0" collapsed="false">
      <c r="A17" s="23" t="n">
        <v>1</v>
      </c>
      <c r="B17" s="23" t="s">
        <v>33</v>
      </c>
      <c r="C17" s="23" t="s">
        <v>18</v>
      </c>
      <c r="D17" s="24" t="n">
        <v>95762.44</v>
      </c>
      <c r="E17" s="24" t="n">
        <v>0</v>
      </c>
      <c r="F17" s="24" t="n">
        <v>95762.44</v>
      </c>
      <c r="G17" s="24" t="n">
        <v>95762.44</v>
      </c>
      <c r="H17" s="24" t="n">
        <v>0</v>
      </c>
      <c r="I17" s="24" t="n">
        <f aca="false">G17+H17</f>
        <v>95762.44</v>
      </c>
      <c r="J17" s="24" t="n">
        <f aca="false">D17-I17</f>
        <v>0</v>
      </c>
      <c r="K17" s="25" t="s">
        <v>68</v>
      </c>
      <c r="L17" s="25" t="s">
        <v>69</v>
      </c>
    </row>
    <row r="18" customFormat="false" ht="15" hidden="false" customHeight="false" outlineLevel="0" collapsed="false">
      <c r="A18" s="23" t="n">
        <v>2</v>
      </c>
      <c r="B18" s="23" t="s">
        <v>26</v>
      </c>
      <c r="C18" s="23" t="s">
        <v>18</v>
      </c>
      <c r="D18" s="24" t="n">
        <v>287646.29</v>
      </c>
      <c r="E18" s="24" t="n">
        <v>0</v>
      </c>
      <c r="F18" s="24" t="n">
        <v>0</v>
      </c>
      <c r="G18" s="24" t="n">
        <v>23970.53</v>
      </c>
      <c r="H18" s="24" t="n">
        <v>10459.87</v>
      </c>
      <c r="I18" s="24" t="n">
        <f aca="false">G18+H18</f>
        <v>34430.4</v>
      </c>
      <c r="J18" s="24" t="n">
        <f aca="false">D18-I18</f>
        <v>253215.89</v>
      </c>
      <c r="K18" s="25" t="s">
        <v>64</v>
      </c>
      <c r="L18" s="25" t="s">
        <v>65</v>
      </c>
    </row>
    <row r="19" customFormat="false" ht="15" hidden="false" customHeight="false" outlineLevel="0" collapsed="false">
      <c r="A19" s="23" t="n">
        <v>3</v>
      </c>
      <c r="B19" s="23" t="s">
        <v>34</v>
      </c>
      <c r="C19" s="23" t="s">
        <v>18</v>
      </c>
      <c r="D19" s="24" t="n">
        <v>10435.08</v>
      </c>
      <c r="E19" s="24" t="n">
        <v>0</v>
      </c>
      <c r="F19" s="24" t="n">
        <v>10435.08</v>
      </c>
      <c r="G19" s="24" t="n">
        <v>10435.08</v>
      </c>
      <c r="H19" s="24" t="n">
        <v>0</v>
      </c>
      <c r="I19" s="24" t="n">
        <f aca="false">G19+H19</f>
        <v>10435.08</v>
      </c>
      <c r="J19" s="24" t="n">
        <f aca="false">D19-I19</f>
        <v>0</v>
      </c>
      <c r="K19" s="25" t="s">
        <v>68</v>
      </c>
      <c r="L19" s="25" t="s">
        <v>69</v>
      </c>
    </row>
    <row r="20" customFormat="false" ht="15" hidden="false" customHeight="false" outlineLevel="0" collapsed="false">
      <c r="A20" s="23" t="n">
        <v>4</v>
      </c>
      <c r="B20" s="23" t="s">
        <v>26</v>
      </c>
      <c r="C20" s="23" t="s">
        <v>18</v>
      </c>
      <c r="D20" s="24" t="n">
        <v>31344.36</v>
      </c>
      <c r="E20" s="24" t="n">
        <v>0</v>
      </c>
      <c r="F20" s="24" t="n">
        <v>0</v>
      </c>
      <c r="G20" s="24" t="n">
        <v>2612.02</v>
      </c>
      <c r="H20" s="24" t="n">
        <v>1139.79</v>
      </c>
      <c r="I20" s="24" t="n">
        <f aca="false">G20+H20</f>
        <v>3751.81</v>
      </c>
      <c r="J20" s="24" t="n">
        <f aca="false">D20-I20</f>
        <v>27592.55</v>
      </c>
      <c r="K20" s="25" t="s">
        <v>64</v>
      </c>
      <c r="L20" s="25" t="s">
        <v>65</v>
      </c>
    </row>
    <row r="21" customFormat="false" ht="15" hidden="false" customHeight="false" outlineLevel="0" collapsed="false">
      <c r="A21" s="23" t="n">
        <v>5</v>
      </c>
      <c r="B21" s="23" t="s">
        <v>35</v>
      </c>
      <c r="C21" s="23" t="s">
        <v>18</v>
      </c>
      <c r="D21" s="24" t="n">
        <v>19565.8</v>
      </c>
      <c r="E21" s="24" t="n">
        <v>0</v>
      </c>
      <c r="F21" s="24" t="n">
        <v>19565.8</v>
      </c>
      <c r="G21" s="24" t="n">
        <v>19565.8</v>
      </c>
      <c r="H21" s="24" t="n">
        <v>0</v>
      </c>
      <c r="I21" s="24" t="n">
        <f aca="false">G21+H21</f>
        <v>19565.8</v>
      </c>
      <c r="J21" s="24" t="n">
        <f aca="false">D21-I21</f>
        <v>0</v>
      </c>
      <c r="K21" s="25" t="s">
        <v>68</v>
      </c>
      <c r="L21" s="25" t="s">
        <v>69</v>
      </c>
    </row>
    <row r="22" customFormat="false" ht="15" hidden="false" customHeight="false" outlineLevel="0" collapsed="false">
      <c r="A22" s="23" t="n">
        <v>6</v>
      </c>
      <c r="B22" s="23" t="s">
        <v>32</v>
      </c>
      <c r="C22" s="23" t="s">
        <v>18</v>
      </c>
      <c r="D22" s="24" t="n">
        <v>58770.74</v>
      </c>
      <c r="E22" s="24" t="n">
        <v>0</v>
      </c>
      <c r="F22" s="24" t="n">
        <v>0</v>
      </c>
      <c r="G22" s="24" t="n">
        <v>4897.57</v>
      </c>
      <c r="H22" s="24" t="n">
        <v>2137.12</v>
      </c>
      <c r="I22" s="24" t="n">
        <f aca="false">G22+H22</f>
        <v>7034.69</v>
      </c>
      <c r="J22" s="24" t="n">
        <f aca="false">D22-I22</f>
        <v>51736.05</v>
      </c>
      <c r="K22" s="25" t="s">
        <v>64</v>
      </c>
      <c r="L22" s="25" t="s">
        <v>65</v>
      </c>
    </row>
    <row r="23" customFormat="false" ht="15" hidden="false" customHeight="false" outlineLevel="0" collapsed="false">
      <c r="A23" s="26"/>
      <c r="B23" s="27" t="s">
        <v>22</v>
      </c>
      <c r="C23" s="26"/>
      <c r="D23" s="28" t="n">
        <f aca="false">SUM(D17:D22)</f>
        <v>503524.71</v>
      </c>
      <c r="E23" s="28" t="n">
        <f aca="false">SUM(E17:E22)</f>
        <v>0</v>
      </c>
      <c r="F23" s="28" t="n">
        <f aca="false">SUM(F17:F22)</f>
        <v>125763.32</v>
      </c>
      <c r="G23" s="28" t="n">
        <f aca="false">SUM(G17:G22)</f>
        <v>157243.44</v>
      </c>
      <c r="H23" s="28" t="n">
        <f aca="false">SUM(H17:H22)</f>
        <v>13736.78</v>
      </c>
      <c r="I23" s="28" t="n">
        <f aca="false">SUM(I17:I22)</f>
        <v>170980.22</v>
      </c>
      <c r="J23" s="28" t="n">
        <f aca="false">SUM(J17:J22)</f>
        <v>332544.49</v>
      </c>
      <c r="K23" s="26"/>
      <c r="L23" s="26"/>
    </row>
    <row r="25" customFormat="false" ht="15" hidden="false" customHeight="false" outlineLevel="0" collapsed="false">
      <c r="B25" s="18" t="s">
        <v>72</v>
      </c>
    </row>
    <row r="26" customFormat="false" ht="15" hidden="false" customHeight="false" outlineLevel="0" collapsed="false">
      <c r="B26" s="5" t="s">
        <v>73</v>
      </c>
      <c r="D26" s="6" t="n">
        <f aca="false">I13</f>
        <v>166008.92</v>
      </c>
    </row>
    <row r="27" customFormat="false" ht="15" hidden="false" customHeight="false" outlineLevel="0" collapsed="false">
      <c r="B27" s="5" t="s">
        <v>74</v>
      </c>
      <c r="D27" s="6" t="n">
        <f aca="false">I23</f>
        <v>170980.22</v>
      </c>
    </row>
    <row r="28" customFormat="false" ht="15" hidden="false" customHeight="false" outlineLevel="0" collapsed="false">
      <c r="B28" s="11" t="s">
        <v>72</v>
      </c>
      <c r="D28" s="29" t="n">
        <f aca="false">D26-D27</f>
        <v>-4971.30000000002</v>
      </c>
    </row>
    <row r="30" customFormat="false" ht="15" hidden="false" customHeight="false" outlineLevel="0" collapsed="false">
      <c r="A30" s="10" t="s">
        <v>75</v>
      </c>
    </row>
    <row r="31" customFormat="false" ht="15" hidden="false" customHeight="false" outlineLevel="0" collapsed="false">
      <c r="A31" s="21" t="s">
        <v>76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52</v>
      </c>
      <c r="B32" s="4" t="s">
        <v>53</v>
      </c>
      <c r="C32" s="4" t="s">
        <v>54</v>
      </c>
      <c r="D32" s="4" t="s">
        <v>55</v>
      </c>
      <c r="E32" s="4" t="s">
        <v>56</v>
      </c>
      <c r="F32" s="4" t="s">
        <v>57</v>
      </c>
      <c r="G32" s="4" t="s">
        <v>77</v>
      </c>
      <c r="H32" s="4" t="s">
        <v>78</v>
      </c>
      <c r="I32" s="4" t="s">
        <v>60</v>
      </c>
      <c r="J32" s="4" t="s">
        <v>61</v>
      </c>
      <c r="K32" s="4" t="s">
        <v>62</v>
      </c>
      <c r="L32" s="4" t="s">
        <v>63</v>
      </c>
    </row>
    <row r="33" customFormat="false" ht="15" hidden="false" customHeight="false" outlineLevel="0" collapsed="false">
      <c r="A33" s="23" t="n">
        <v>1</v>
      </c>
      <c r="B33" s="23" t="s">
        <v>19</v>
      </c>
      <c r="C33" s="23" t="s">
        <v>18</v>
      </c>
      <c r="D33" s="24" t="n">
        <v>383408.73</v>
      </c>
      <c r="E33" s="24" t="n">
        <v>0</v>
      </c>
      <c r="F33" s="24" t="n">
        <v>0</v>
      </c>
      <c r="G33" s="24" t="n">
        <v>31950.77</v>
      </c>
      <c r="H33" s="24" t="n">
        <v>13942.17</v>
      </c>
      <c r="I33" s="24" t="n">
        <f aca="false">G33+H33</f>
        <v>45892.94</v>
      </c>
      <c r="J33" s="24" t="n">
        <f aca="false">D33-I33</f>
        <v>337515.79</v>
      </c>
      <c r="K33" s="25" t="s">
        <v>64</v>
      </c>
      <c r="L33" s="25" t="s">
        <v>65</v>
      </c>
    </row>
    <row r="34" customFormat="false" ht="15" hidden="false" customHeight="false" outlineLevel="0" collapsed="false">
      <c r="A34" s="23" t="n">
        <v>2</v>
      </c>
      <c r="B34" s="23" t="s">
        <v>20</v>
      </c>
      <c r="C34" s="23" t="s">
        <v>18</v>
      </c>
      <c r="D34" s="24" t="n">
        <v>41779.44</v>
      </c>
      <c r="E34" s="24" t="n">
        <v>0</v>
      </c>
      <c r="F34" s="24" t="n">
        <v>41779.44</v>
      </c>
      <c r="G34" s="24" t="n">
        <v>41779.44</v>
      </c>
      <c r="H34" s="24" t="n">
        <v>0</v>
      </c>
      <c r="I34" s="24" t="n">
        <f aca="false">G34+H34</f>
        <v>41779.44</v>
      </c>
      <c r="J34" s="24" t="n">
        <f aca="false">D34-I34</f>
        <v>0</v>
      </c>
      <c r="K34" s="25" t="s">
        <v>66</v>
      </c>
      <c r="L34" s="25" t="s">
        <v>67</v>
      </c>
    </row>
    <row r="35" customFormat="false" ht="15" hidden="false" customHeight="false" outlineLevel="0" collapsed="false">
      <c r="A35" s="23" t="n">
        <v>3</v>
      </c>
      <c r="B35" s="23" t="s">
        <v>21</v>
      </c>
      <c r="C35" s="23" t="s">
        <v>18</v>
      </c>
      <c r="D35" s="24" t="n">
        <v>78336.54</v>
      </c>
      <c r="E35" s="24" t="n">
        <v>0</v>
      </c>
      <c r="F35" s="24" t="n">
        <v>78336.54</v>
      </c>
      <c r="G35" s="24" t="n">
        <v>78336.54</v>
      </c>
      <c r="H35" s="24" t="n">
        <v>0</v>
      </c>
      <c r="I35" s="24" t="n">
        <f aca="false">G35+H35</f>
        <v>78336.54</v>
      </c>
      <c r="J35" s="24" t="n">
        <f aca="false">D35-I35</f>
        <v>0</v>
      </c>
      <c r="K35" s="25" t="s">
        <v>68</v>
      </c>
      <c r="L35" s="25" t="s">
        <v>69</v>
      </c>
    </row>
    <row r="36" customFormat="false" ht="15" hidden="false" customHeight="false" outlineLevel="0" collapsed="false">
      <c r="A36" s="26"/>
      <c r="B36" s="27" t="s">
        <v>22</v>
      </c>
      <c r="C36" s="26"/>
      <c r="D36" s="28" t="n">
        <f aca="false">SUM(D33:D35)</f>
        <v>503524.71</v>
      </c>
      <c r="E36" s="28" t="n">
        <f aca="false">SUM(E33:E35)</f>
        <v>0</v>
      </c>
      <c r="F36" s="28" t="n">
        <f aca="false">SUM(F33:F35)</f>
        <v>120115.98</v>
      </c>
      <c r="G36" s="28" t="n">
        <f aca="false">SUM(G33:G35)</f>
        <v>152066.75</v>
      </c>
      <c r="H36" s="28" t="n">
        <f aca="false">SUM(H33:H35)</f>
        <v>13942.17</v>
      </c>
      <c r="I36" s="28" t="n">
        <f aca="false">SUM(I33:I35)</f>
        <v>166008.92</v>
      </c>
      <c r="J36" s="28" t="n">
        <f aca="false">SUM(J33:J35)</f>
        <v>337515.79</v>
      </c>
      <c r="K36" s="26"/>
      <c r="L36" s="26"/>
    </row>
    <row r="38" customFormat="false" ht="15" hidden="false" customHeight="false" outlineLevel="0" collapsed="false">
      <c r="A38" s="21" t="s">
        <v>79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52</v>
      </c>
      <c r="B39" s="4" t="s">
        <v>53</v>
      </c>
      <c r="C39" s="4" t="s">
        <v>54</v>
      </c>
      <c r="D39" s="4" t="s">
        <v>55</v>
      </c>
      <c r="E39" s="4" t="s">
        <v>56</v>
      </c>
      <c r="F39" s="4" t="s">
        <v>57</v>
      </c>
      <c r="G39" s="4" t="s">
        <v>77</v>
      </c>
      <c r="H39" s="4" t="s">
        <v>78</v>
      </c>
      <c r="I39" s="4" t="s">
        <v>60</v>
      </c>
      <c r="J39" s="4" t="s">
        <v>61</v>
      </c>
      <c r="K39" s="4" t="s">
        <v>62</v>
      </c>
      <c r="L39" s="4" t="s">
        <v>63</v>
      </c>
    </row>
    <row r="40" customFormat="false" ht="15" hidden="false" customHeight="false" outlineLevel="0" collapsed="false">
      <c r="A40" s="23" t="n">
        <v>1</v>
      </c>
      <c r="B40" s="23" t="s">
        <v>33</v>
      </c>
      <c r="C40" s="23" t="s">
        <v>18</v>
      </c>
      <c r="D40" s="24" t="n">
        <v>95762.44</v>
      </c>
      <c r="E40" s="24" t="n">
        <v>0</v>
      </c>
      <c r="F40" s="24" t="n">
        <v>95762.44</v>
      </c>
      <c r="G40" s="24" t="n">
        <v>95762.44</v>
      </c>
      <c r="H40" s="24" t="n">
        <v>0</v>
      </c>
      <c r="I40" s="24" t="n">
        <f aca="false">G40+H40</f>
        <v>95762.44</v>
      </c>
      <c r="J40" s="24" t="n">
        <f aca="false">D40-I40</f>
        <v>0</v>
      </c>
      <c r="K40" s="25" t="s">
        <v>68</v>
      </c>
      <c r="L40" s="25" t="s">
        <v>69</v>
      </c>
    </row>
    <row r="41" customFormat="false" ht="15" hidden="false" customHeight="false" outlineLevel="0" collapsed="false">
      <c r="A41" s="23" t="n">
        <v>2</v>
      </c>
      <c r="B41" s="23" t="s">
        <v>26</v>
      </c>
      <c r="C41" s="23" t="s">
        <v>18</v>
      </c>
      <c r="D41" s="24" t="n">
        <v>287646.29</v>
      </c>
      <c r="E41" s="24" t="n">
        <v>0</v>
      </c>
      <c r="F41" s="24" t="n">
        <v>0</v>
      </c>
      <c r="G41" s="24" t="n">
        <v>23970.53</v>
      </c>
      <c r="H41" s="24" t="n">
        <v>10459.87</v>
      </c>
      <c r="I41" s="24" t="n">
        <f aca="false">G41+H41</f>
        <v>34430.4</v>
      </c>
      <c r="J41" s="24" t="n">
        <f aca="false">D41-I41</f>
        <v>253215.89</v>
      </c>
      <c r="K41" s="25" t="s">
        <v>64</v>
      </c>
      <c r="L41" s="25" t="s">
        <v>65</v>
      </c>
    </row>
    <row r="42" customFormat="false" ht="15" hidden="false" customHeight="false" outlineLevel="0" collapsed="false">
      <c r="A42" s="23" t="n">
        <v>3</v>
      </c>
      <c r="B42" s="23" t="s">
        <v>34</v>
      </c>
      <c r="C42" s="23" t="s">
        <v>18</v>
      </c>
      <c r="D42" s="24" t="n">
        <v>10435.08</v>
      </c>
      <c r="E42" s="24" t="n">
        <v>0</v>
      </c>
      <c r="F42" s="24" t="n">
        <v>10435.08</v>
      </c>
      <c r="G42" s="24" t="n">
        <v>10435.08</v>
      </c>
      <c r="H42" s="24" t="n">
        <v>0</v>
      </c>
      <c r="I42" s="24" t="n">
        <f aca="false">G42+H42</f>
        <v>10435.08</v>
      </c>
      <c r="J42" s="24" t="n">
        <f aca="false">D42-I42</f>
        <v>0</v>
      </c>
      <c r="K42" s="25" t="s">
        <v>68</v>
      </c>
      <c r="L42" s="25" t="s">
        <v>69</v>
      </c>
    </row>
    <row r="43" customFormat="false" ht="15" hidden="false" customHeight="false" outlineLevel="0" collapsed="false">
      <c r="A43" s="23" t="n">
        <v>4</v>
      </c>
      <c r="B43" s="23" t="s">
        <v>26</v>
      </c>
      <c r="C43" s="23" t="s">
        <v>18</v>
      </c>
      <c r="D43" s="24" t="n">
        <v>31344.36</v>
      </c>
      <c r="E43" s="24" t="n">
        <v>0</v>
      </c>
      <c r="F43" s="24" t="n">
        <v>0</v>
      </c>
      <c r="G43" s="24" t="n">
        <v>2612.02</v>
      </c>
      <c r="H43" s="24" t="n">
        <v>1139.79</v>
      </c>
      <c r="I43" s="24" t="n">
        <f aca="false">G43+H43</f>
        <v>3751.81</v>
      </c>
      <c r="J43" s="24" t="n">
        <f aca="false">D43-I43</f>
        <v>27592.55</v>
      </c>
      <c r="K43" s="25" t="s">
        <v>64</v>
      </c>
      <c r="L43" s="25" t="s">
        <v>65</v>
      </c>
    </row>
    <row r="44" customFormat="false" ht="15" hidden="false" customHeight="false" outlineLevel="0" collapsed="false">
      <c r="A44" s="23" t="n">
        <v>5</v>
      </c>
      <c r="B44" s="23" t="s">
        <v>35</v>
      </c>
      <c r="C44" s="23" t="s">
        <v>18</v>
      </c>
      <c r="D44" s="24" t="n">
        <v>19565.8</v>
      </c>
      <c r="E44" s="24" t="n">
        <v>0</v>
      </c>
      <c r="F44" s="24" t="n">
        <v>19565.8</v>
      </c>
      <c r="G44" s="24" t="n">
        <v>19565.8</v>
      </c>
      <c r="H44" s="24" t="n">
        <v>0</v>
      </c>
      <c r="I44" s="24" t="n">
        <f aca="false">G44+H44</f>
        <v>19565.8</v>
      </c>
      <c r="J44" s="24" t="n">
        <f aca="false">D44-I44</f>
        <v>0</v>
      </c>
      <c r="K44" s="25" t="s">
        <v>68</v>
      </c>
      <c r="L44" s="25" t="s">
        <v>69</v>
      </c>
    </row>
    <row r="45" customFormat="false" ht="15" hidden="false" customHeight="false" outlineLevel="0" collapsed="false">
      <c r="A45" s="23" t="n">
        <v>6</v>
      </c>
      <c r="B45" s="23" t="s">
        <v>32</v>
      </c>
      <c r="C45" s="23" t="s">
        <v>18</v>
      </c>
      <c r="D45" s="24" t="n">
        <v>58770.74</v>
      </c>
      <c r="E45" s="24" t="n">
        <v>0</v>
      </c>
      <c r="F45" s="24" t="n">
        <v>0</v>
      </c>
      <c r="G45" s="24" t="n">
        <v>4897.57</v>
      </c>
      <c r="H45" s="24" t="n">
        <v>2137.12</v>
      </c>
      <c r="I45" s="24" t="n">
        <f aca="false">G45+H45</f>
        <v>7034.69</v>
      </c>
      <c r="J45" s="24" t="n">
        <f aca="false">D45-I45</f>
        <v>51736.05</v>
      </c>
      <c r="K45" s="25" t="s">
        <v>64</v>
      </c>
      <c r="L45" s="25" t="s">
        <v>65</v>
      </c>
    </row>
    <row r="46" customFormat="false" ht="15" hidden="false" customHeight="false" outlineLevel="0" collapsed="false">
      <c r="A46" s="26"/>
      <c r="B46" s="27" t="s">
        <v>22</v>
      </c>
      <c r="C46" s="26"/>
      <c r="D46" s="28" t="n">
        <f aca="false">SUM(D40:D45)</f>
        <v>503524.71</v>
      </c>
      <c r="E46" s="28" t="n">
        <f aca="false">SUM(E40:E45)</f>
        <v>0</v>
      </c>
      <c r="F46" s="28" t="n">
        <f aca="false">SUM(F40:F45)</f>
        <v>125763.32</v>
      </c>
      <c r="G46" s="28" t="n">
        <f aca="false">SUM(G40:G45)</f>
        <v>157243.44</v>
      </c>
      <c r="H46" s="28" t="n">
        <f aca="false">SUM(H40:H45)</f>
        <v>13736.78</v>
      </c>
      <c r="I46" s="28" t="n">
        <f aca="false">SUM(I40:I45)</f>
        <v>170980.22</v>
      </c>
      <c r="J46" s="28" t="n">
        <f aca="false">SUM(J40:J45)</f>
        <v>332544.49</v>
      </c>
      <c r="K46" s="26"/>
      <c r="L46" s="26"/>
    </row>
    <row r="48" customFormat="false" ht="15" hidden="false" customHeight="false" outlineLevel="0" collapsed="false">
      <c r="B48" s="18" t="s">
        <v>80</v>
      </c>
    </row>
    <row r="49" customFormat="false" ht="15" hidden="false" customHeight="false" outlineLevel="0" collapsed="false">
      <c r="B49" s="5" t="s">
        <v>73</v>
      </c>
      <c r="D49" s="6" t="n">
        <f aca="false">I36</f>
        <v>166008.92</v>
      </c>
    </row>
    <row r="50" customFormat="false" ht="15" hidden="false" customHeight="false" outlineLevel="0" collapsed="false">
      <c r="B50" s="5" t="s">
        <v>74</v>
      </c>
      <c r="D50" s="6" t="n">
        <f aca="false">I46</f>
        <v>170980.22</v>
      </c>
    </row>
    <row r="51" customFormat="false" ht="15" hidden="false" customHeight="false" outlineLevel="0" collapsed="false">
      <c r="B51" s="11" t="s">
        <v>80</v>
      </c>
      <c r="D51" s="29" t="n">
        <f aca="false">D49-D50</f>
        <v>-4971.30000000002</v>
      </c>
    </row>
    <row r="53" customFormat="false" ht="15" hidden="false" customHeight="false" outlineLevel="0" collapsed="false">
      <c r="A53" s="10" t="s">
        <v>81</v>
      </c>
    </row>
    <row r="54" customFormat="false" ht="15" hidden="false" customHeight="false" outlineLevel="0" collapsed="false">
      <c r="B54" s="11" t="s">
        <v>115</v>
      </c>
      <c r="D54" s="12" t="n">
        <f aca="false">D93</f>
        <v>503524.71</v>
      </c>
    </row>
    <row r="55" customFormat="false" ht="15" hidden="false" customHeight="false" outlineLevel="0" collapsed="false">
      <c r="B55" s="5" t="s">
        <v>116</v>
      </c>
      <c r="D55" s="6" t="n">
        <f aca="false">F93</f>
        <v>125763.32</v>
      </c>
    </row>
    <row r="56" customFormat="false" ht="15" hidden="false" customHeight="false" outlineLevel="0" collapsed="false">
      <c r="B56" s="30" t="s">
        <v>84</v>
      </c>
      <c r="D56" s="31" t="n">
        <f aca="false">F94</f>
        <v>0.249765935022335</v>
      </c>
    </row>
    <row r="57" customFormat="false" ht="15" hidden="false" customHeight="false" outlineLevel="0" collapsed="false">
      <c r="B57" s="5" t="s">
        <v>117</v>
      </c>
      <c r="D57" s="6" t="n">
        <f aca="false">H93</f>
        <v>377761.39</v>
      </c>
    </row>
    <row r="58" customFormat="false" ht="15" hidden="false" customHeight="false" outlineLevel="0" collapsed="false">
      <c r="B58" s="30" t="s">
        <v>84</v>
      </c>
      <c r="D58" s="31" t="n">
        <f aca="false">H94</f>
        <v>0.750234064977665</v>
      </c>
    </row>
    <row r="60" customFormat="false" ht="15" hidden="false" customHeight="false" outlineLevel="0" collapsed="false">
      <c r="A60" s="10" t="s">
        <v>87</v>
      </c>
    </row>
    <row r="61" customFormat="false" ht="15" hidden="false" customHeight="false" outlineLevel="0" collapsed="false">
      <c r="B61" s="4" t="s">
        <v>88</v>
      </c>
      <c r="D61" s="4" t="s">
        <v>55</v>
      </c>
      <c r="F61" s="4" t="s">
        <v>118</v>
      </c>
      <c r="H61" s="4" t="s">
        <v>91</v>
      </c>
    </row>
    <row r="62" customFormat="false" ht="15" hidden="false" customHeight="false" outlineLevel="0" collapsed="false">
      <c r="B62" s="32" t="s">
        <v>119</v>
      </c>
    </row>
    <row r="63" customFormat="false" ht="15" hidden="false" customHeight="false" outlineLevel="0" collapsed="false">
      <c r="B63" s="5" t="s">
        <v>120</v>
      </c>
      <c r="D63" s="33" t="n">
        <f aca="false">SUM(F63:H63)</f>
        <v>26757.81</v>
      </c>
      <c r="F63" s="33" t="n">
        <v>26757.81</v>
      </c>
    </row>
    <row r="64" customFormat="false" ht="15" hidden="false" customHeight="false" outlineLevel="0" collapsed="false">
      <c r="B64" s="5" t="s">
        <v>121</v>
      </c>
      <c r="D64" s="33" t="n">
        <f aca="false">SUM(F64:H64)</f>
        <v>7990.89</v>
      </c>
      <c r="F64" s="33" t="n">
        <v>7990.89</v>
      </c>
    </row>
    <row r="65" customFormat="false" ht="15" hidden="false" customHeight="false" outlineLevel="0" collapsed="false">
      <c r="B65" s="5" t="s">
        <v>122</v>
      </c>
      <c r="D65" s="33" t="n">
        <f aca="false">SUM(F65:H65)</f>
        <v>37800.94</v>
      </c>
      <c r="F65" s="33" t="n">
        <v>37800.94</v>
      </c>
    </row>
    <row r="66" customFormat="false" ht="15" hidden="false" customHeight="false" outlineLevel="0" collapsed="false">
      <c r="B66" s="5" t="s">
        <v>123</v>
      </c>
      <c r="D66" s="33" t="n">
        <f aca="false">SUM(F66:H66)</f>
        <v>2842.52</v>
      </c>
      <c r="F66" s="33" t="n">
        <v>2842.52</v>
      </c>
    </row>
    <row r="67" customFormat="false" ht="15" hidden="false" customHeight="false" outlineLevel="0" collapsed="false">
      <c r="B67" s="5" t="s">
        <v>124</v>
      </c>
      <c r="D67" s="33" t="n">
        <f aca="false">SUM(F67:H67)</f>
        <v>2418.44</v>
      </c>
      <c r="F67" s="33" t="n">
        <v>2418.44</v>
      </c>
    </row>
    <row r="68" customFormat="false" ht="15" hidden="false" customHeight="false" outlineLevel="0" collapsed="false">
      <c r="B68" s="5" t="s">
        <v>125</v>
      </c>
      <c r="D68" s="33" t="n">
        <f aca="false">SUM(F68:H68)</f>
        <v>718.3</v>
      </c>
      <c r="F68" s="33" t="n">
        <v>718.3</v>
      </c>
    </row>
    <row r="69" customFormat="false" ht="15" hidden="false" customHeight="false" outlineLevel="0" collapsed="false">
      <c r="B69" s="5" t="s">
        <v>126</v>
      </c>
      <c r="D69" s="33" t="n">
        <f aca="false">SUM(F69:H69)</f>
        <v>705.03</v>
      </c>
      <c r="F69" s="33" t="n">
        <v>705.03</v>
      </c>
    </row>
    <row r="70" customFormat="false" ht="15" hidden="false" customHeight="false" outlineLevel="0" collapsed="false">
      <c r="B70" s="5" t="s">
        <v>127</v>
      </c>
      <c r="D70" s="33" t="n">
        <f aca="false">SUM(F70:H70)</f>
        <v>12363.8</v>
      </c>
      <c r="F70" s="33" t="n">
        <v>12363.8</v>
      </c>
    </row>
    <row r="71" customFormat="false" ht="15" hidden="false" customHeight="false" outlineLevel="0" collapsed="false">
      <c r="B71" s="5" t="s">
        <v>128</v>
      </c>
      <c r="D71" s="33" t="n">
        <f aca="false">SUM(F71:H71)</f>
        <v>3400.77</v>
      </c>
      <c r="F71" s="33" t="n">
        <v>3400.77</v>
      </c>
    </row>
    <row r="72" customFormat="false" ht="15" hidden="false" customHeight="false" outlineLevel="0" collapsed="false">
      <c r="B72" s="5" t="s">
        <v>129</v>
      </c>
      <c r="D72" s="33" t="n">
        <f aca="false">SUM(F72:H72)</f>
        <v>13431.92</v>
      </c>
      <c r="F72" s="33" t="n">
        <v>13431.92</v>
      </c>
    </row>
    <row r="73" customFormat="false" ht="15" hidden="false" customHeight="false" outlineLevel="0" collapsed="false">
      <c r="B73" s="5" t="s">
        <v>130</v>
      </c>
      <c r="D73" s="33" t="n">
        <f aca="false">SUM(F73:H73)</f>
        <v>1140.5</v>
      </c>
      <c r="F73" s="33" t="n">
        <v>1140.5</v>
      </c>
    </row>
    <row r="74" customFormat="false" ht="15" hidden="false" customHeight="false" outlineLevel="0" collapsed="false">
      <c r="B74" s="5" t="s">
        <v>131</v>
      </c>
      <c r="D74" s="33" t="n">
        <f aca="false">SUM(F74:H74)</f>
        <v>1360.86</v>
      </c>
      <c r="F74" s="33" t="n">
        <v>1360.86</v>
      </c>
    </row>
    <row r="75" customFormat="false" ht="15" hidden="false" customHeight="false" outlineLevel="0" collapsed="false">
      <c r="B75" s="5" t="s">
        <v>132</v>
      </c>
      <c r="D75" s="33" t="n">
        <f aca="false">SUM(F75:H75)</f>
        <v>14831.54</v>
      </c>
      <c r="F75" s="33" t="n">
        <v>14831.54</v>
      </c>
    </row>
    <row r="76" customFormat="false" ht="15" hidden="false" customHeight="false" outlineLevel="0" collapsed="false">
      <c r="B76" s="32" t="s">
        <v>133</v>
      </c>
    </row>
    <row r="77" customFormat="false" ht="15" hidden="false" customHeight="false" outlineLevel="0" collapsed="false">
      <c r="B77" s="5" t="s">
        <v>134</v>
      </c>
      <c r="D77" s="33" t="n">
        <f aca="false">SUM(F77:H77)</f>
        <v>25110.72</v>
      </c>
      <c r="H77" s="33" t="n">
        <v>25110.72</v>
      </c>
    </row>
    <row r="78" customFormat="false" ht="15" hidden="false" customHeight="false" outlineLevel="0" collapsed="false">
      <c r="B78" s="5" t="s">
        <v>135</v>
      </c>
      <c r="D78" s="33" t="n">
        <f aca="false">SUM(F78:H78)</f>
        <v>35390.34</v>
      </c>
      <c r="H78" s="33" t="n">
        <v>35390.34</v>
      </c>
    </row>
    <row r="79" customFormat="false" ht="15" hidden="false" customHeight="false" outlineLevel="0" collapsed="false">
      <c r="B79" s="5" t="s">
        <v>136</v>
      </c>
      <c r="D79" s="33" t="n">
        <f aca="false">SUM(F79:H79)</f>
        <v>29008.33</v>
      </c>
      <c r="H79" s="33" t="n">
        <v>29008.33</v>
      </c>
    </row>
    <row r="80" customFormat="false" ht="15" hidden="false" customHeight="false" outlineLevel="0" collapsed="false">
      <c r="B80" s="5" t="s">
        <v>137</v>
      </c>
      <c r="D80" s="33" t="n">
        <f aca="false">SUM(F80:H80)</f>
        <v>31389.04</v>
      </c>
      <c r="H80" s="33" t="n">
        <v>31389.04</v>
      </c>
    </row>
    <row r="81" customFormat="false" ht="15" hidden="false" customHeight="false" outlineLevel="0" collapsed="false">
      <c r="B81" s="5" t="s">
        <v>138</v>
      </c>
      <c r="D81" s="33" t="n">
        <f aca="false">SUM(F81:H81)</f>
        <v>26496.62</v>
      </c>
      <c r="H81" s="33" t="n">
        <v>26496.62</v>
      </c>
    </row>
    <row r="82" customFormat="false" ht="15" hidden="false" customHeight="false" outlineLevel="0" collapsed="false">
      <c r="B82" s="5" t="s">
        <v>139</v>
      </c>
      <c r="D82" s="33" t="n">
        <f aca="false">SUM(F82:H82)</f>
        <v>12009.05</v>
      </c>
      <c r="H82" s="33" t="n">
        <v>12009.05</v>
      </c>
    </row>
    <row r="83" customFormat="false" ht="15" hidden="false" customHeight="false" outlineLevel="0" collapsed="false">
      <c r="B83" s="5" t="s">
        <v>140</v>
      </c>
      <c r="D83" s="33" t="n">
        <f aca="false">SUM(F83:H83)</f>
        <v>23153.47</v>
      </c>
      <c r="H83" s="33" t="n">
        <v>23153.47</v>
      </c>
    </row>
    <row r="84" customFormat="false" ht="15" hidden="false" customHeight="false" outlineLevel="0" collapsed="false">
      <c r="B84" s="5" t="s">
        <v>141</v>
      </c>
      <c r="D84" s="33" t="n">
        <f aca="false">SUM(F84:H84)</f>
        <v>10659.46</v>
      </c>
      <c r="H84" s="33" t="n">
        <v>10659.46</v>
      </c>
    </row>
    <row r="85" customFormat="false" ht="15" hidden="false" customHeight="false" outlineLevel="0" collapsed="false">
      <c r="B85" s="5" t="s">
        <v>142</v>
      </c>
      <c r="D85" s="33" t="n">
        <f aca="false">SUM(F85:H85)</f>
        <v>16835.06</v>
      </c>
      <c r="H85" s="33" t="n">
        <v>16835.06</v>
      </c>
    </row>
    <row r="86" customFormat="false" ht="15" hidden="false" customHeight="false" outlineLevel="0" collapsed="false">
      <c r="B86" s="5" t="s">
        <v>143</v>
      </c>
      <c r="D86" s="33" t="n">
        <f aca="false">SUM(F86:H86)</f>
        <v>39604.25</v>
      </c>
      <c r="H86" s="33" t="n">
        <v>39604.25</v>
      </c>
    </row>
    <row r="87" customFormat="false" ht="15" hidden="false" customHeight="false" outlineLevel="0" collapsed="false">
      <c r="B87" s="5" t="s">
        <v>144</v>
      </c>
      <c r="D87" s="33" t="n">
        <f aca="false">SUM(F87:H87)</f>
        <v>16001</v>
      </c>
      <c r="H87" s="33" t="n">
        <v>16001</v>
      </c>
    </row>
    <row r="88" customFormat="false" ht="15" hidden="false" customHeight="false" outlineLevel="0" collapsed="false">
      <c r="B88" s="5" t="s">
        <v>145</v>
      </c>
      <c r="D88" s="33" t="n">
        <f aca="false">SUM(F88:H88)</f>
        <v>1863.69</v>
      </c>
      <c r="H88" s="33" t="n">
        <v>1863.69</v>
      </c>
    </row>
    <row r="89" customFormat="false" ht="15" hidden="false" customHeight="false" outlineLevel="0" collapsed="false">
      <c r="B89" s="5" t="s">
        <v>146</v>
      </c>
      <c r="D89" s="33" t="n">
        <f aca="false">SUM(F89:H89)</f>
        <v>82713.76</v>
      </c>
      <c r="H89" s="33" t="n">
        <v>82713.76</v>
      </c>
    </row>
    <row r="90" customFormat="false" ht="15" hidden="false" customHeight="false" outlineLevel="0" collapsed="false">
      <c r="B90" s="5" t="s">
        <v>147</v>
      </c>
      <c r="D90" s="33" t="n">
        <f aca="false">SUM(F90:H90)</f>
        <v>10815.9</v>
      </c>
      <c r="H90" s="33" t="n">
        <v>10815.9</v>
      </c>
    </row>
    <row r="91" customFormat="false" ht="15" hidden="false" customHeight="false" outlineLevel="0" collapsed="false">
      <c r="B91" s="5" t="s">
        <v>148</v>
      </c>
      <c r="D91" s="33" t="n">
        <f aca="false">SUM(F91:H91)</f>
        <v>9740.22</v>
      </c>
      <c r="H91" s="33" t="n">
        <v>9740.22</v>
      </c>
    </row>
    <row r="92" customFormat="false" ht="15" hidden="false" customHeight="false" outlineLevel="0" collapsed="false">
      <c r="B92" s="5" t="s">
        <v>149</v>
      </c>
      <c r="D92" s="33" t="n">
        <f aca="false">SUM(F92:H92)</f>
        <v>6970.48</v>
      </c>
      <c r="H92" s="33" t="n">
        <v>6970.48</v>
      </c>
    </row>
    <row r="93" customFormat="false" ht="15" hidden="false" customHeight="false" outlineLevel="0" collapsed="false">
      <c r="B93" s="11" t="s">
        <v>115</v>
      </c>
      <c r="D93" s="34" t="n">
        <f aca="false">SUM(D62:D92)</f>
        <v>503524.71</v>
      </c>
      <c r="F93" s="34" t="n">
        <f aca="false">SUM(F62:F92)</f>
        <v>125763.32</v>
      </c>
      <c r="H93" s="34" t="n">
        <f aca="false">SUM(H62:H92)</f>
        <v>377761.39</v>
      </c>
    </row>
    <row r="94" customFormat="false" ht="15" hidden="false" customHeight="false" outlineLevel="0" collapsed="false">
      <c r="B94" s="30" t="s">
        <v>84</v>
      </c>
      <c r="F94" s="31" t="n">
        <f aca="false">F93/D93</f>
        <v>0.249765935022335</v>
      </c>
      <c r="H94" s="31" t="n">
        <f aca="false">H93/D93</f>
        <v>0.750234064977665</v>
      </c>
    </row>
    <row r="96" customFormat="false" ht="15" hidden="false" customHeight="false" outlineLevel="0" collapsed="false">
      <c r="A96" s="10" t="s">
        <v>110</v>
      </c>
    </row>
    <row r="97" customFormat="false" ht="15" hidden="false" customHeight="false" outlineLevel="0" collapsed="false">
      <c r="B97" s="4" t="s">
        <v>111</v>
      </c>
      <c r="D97" s="4" t="s">
        <v>55</v>
      </c>
      <c r="F97" s="4" t="s">
        <v>118</v>
      </c>
      <c r="H97" s="4" t="s">
        <v>91</v>
      </c>
    </row>
    <row r="98" customFormat="false" ht="15" hidden="false" customHeight="false" outlineLevel="0" collapsed="false">
      <c r="B98" s="5" t="str">
        <f aca="false">'Bldg 5'!B17</f>
        <v>2-Building-5yr</v>
      </c>
      <c r="D98" s="33" t="n">
        <f aca="false">SUM(F98:H98)</f>
        <v>95762.44</v>
      </c>
      <c r="F98" s="33" t="n">
        <f aca="false">'Bldg 5'!D17</f>
        <v>95762.44</v>
      </c>
    </row>
    <row r="99" customFormat="false" ht="15" hidden="false" customHeight="false" outlineLevel="0" collapsed="false">
      <c r="B99" s="5" t="str">
        <f aca="false">'Bldg 5'!B18</f>
        <v>2-Building-27.5yr</v>
      </c>
      <c r="D99" s="33" t="n">
        <f aca="false">SUM(F99:H99)</f>
        <v>287646.29</v>
      </c>
      <c r="H99" s="33" t="n">
        <f aca="false">'Bldg 5'!D18</f>
        <v>287646.29</v>
      </c>
    </row>
    <row r="100" customFormat="false" ht="15" hidden="false" customHeight="false" outlineLevel="0" collapsed="false">
      <c r="B100" s="5" t="str">
        <f aca="false">'Bldg 5'!B19</f>
        <v>3-Land Improvements-5yr</v>
      </c>
      <c r="D100" s="33" t="n">
        <f aca="false">SUM(F100:H100)</f>
        <v>10435.08</v>
      </c>
      <c r="F100" s="33" t="n">
        <f aca="false">'Bldg 5'!D19</f>
        <v>10435.08</v>
      </c>
    </row>
    <row r="101" customFormat="false" ht="15" hidden="false" customHeight="false" outlineLevel="0" collapsed="false">
      <c r="B101" s="5" t="str">
        <f aca="false">'Bldg 5'!B20</f>
        <v>2-Building-27.5yr</v>
      </c>
      <c r="D101" s="33" t="n">
        <f aca="false">SUM(F101:H101)</f>
        <v>31344.36</v>
      </c>
      <c r="H101" s="33" t="n">
        <f aca="false">'Bldg 5'!D20</f>
        <v>31344.36</v>
      </c>
    </row>
    <row r="102" customFormat="false" ht="15" hidden="false" customHeight="false" outlineLevel="0" collapsed="false">
      <c r="B102" s="5" t="str">
        <f aca="false">'Bldg 5'!B21</f>
        <v>4-Equipment-5yr</v>
      </c>
      <c r="D102" s="33" t="n">
        <f aca="false">SUM(F102:H102)</f>
        <v>19565.8</v>
      </c>
      <c r="F102" s="33" t="n">
        <f aca="false">'Bldg 5'!D21</f>
        <v>19565.8</v>
      </c>
    </row>
    <row r="103" customFormat="false" ht="15" hidden="false" customHeight="false" outlineLevel="0" collapsed="false">
      <c r="B103" s="5" t="str">
        <f aca="false">'Bldg 5'!B22</f>
        <v>4-Equipment-27.5yr</v>
      </c>
      <c r="D103" s="33" t="n">
        <f aca="false">SUM(F103:H103)</f>
        <v>58770.74</v>
      </c>
      <c r="H103" s="33" t="n">
        <f aca="false">'Bldg 5'!D22</f>
        <v>58770.74</v>
      </c>
    </row>
    <row r="104" customFormat="false" ht="15" hidden="false" customHeight="false" outlineLevel="0" collapsed="false">
      <c r="B104" s="11" t="s">
        <v>112</v>
      </c>
      <c r="D104" s="34" t="n">
        <f aca="false">SUM(D98:D103)</f>
        <v>503524.71</v>
      </c>
      <c r="F104" s="34" t="n">
        <f aca="false">SUM(F98:F103)</f>
        <v>125763.32</v>
      </c>
      <c r="H104" s="34" t="n">
        <f aca="false">SUM(H98:H103)</f>
        <v>377761.39</v>
      </c>
    </row>
    <row r="105" customFormat="false" ht="15" hidden="false" customHeight="false" outlineLevel="0" collapsed="false">
      <c r="B105" s="16" t="s">
        <v>113</v>
      </c>
      <c r="D105" s="17" t="n">
        <f aca="false">D104-D93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155</v>
      </c>
    </row>
    <row r="5" customFormat="false" ht="15" hidden="false" customHeight="false" outlineLevel="0" collapsed="false">
      <c r="A5" s="16" t="s">
        <v>49</v>
      </c>
    </row>
    <row r="7" customFormat="false" ht="15" hidden="false" customHeight="false" outlineLevel="0" collapsed="false">
      <c r="A7" s="10" t="s">
        <v>50</v>
      </c>
    </row>
    <row r="8" customFormat="false" ht="15" hidden="false" customHeight="false" outlineLevel="0" collapsed="false">
      <c r="A8" s="21" t="s">
        <v>51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18</v>
      </c>
      <c r="D10" s="24" t="n">
        <v>302676.39</v>
      </c>
      <c r="E10" s="24" t="n">
        <v>0</v>
      </c>
      <c r="F10" s="24" t="n">
        <v>0</v>
      </c>
      <c r="G10" s="24" t="n">
        <v>25223.07</v>
      </c>
      <c r="H10" s="24" t="n">
        <v>11006.44</v>
      </c>
      <c r="I10" s="24" t="n">
        <f aca="false">G10+H10</f>
        <v>36229.51</v>
      </c>
      <c r="J10" s="24" t="n">
        <f aca="false">D10-I10</f>
        <v>266446.88</v>
      </c>
      <c r="K10" s="25" t="s">
        <v>64</v>
      </c>
      <c r="L10" s="25" t="s">
        <v>65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18</v>
      </c>
      <c r="D11" s="24" t="n">
        <v>32982.17</v>
      </c>
      <c r="E11" s="24" t="n">
        <v>0</v>
      </c>
      <c r="F11" s="24" t="n">
        <v>32982.17</v>
      </c>
      <c r="G11" s="24" t="n">
        <v>32982.17</v>
      </c>
      <c r="H11" s="24" t="n">
        <v>0</v>
      </c>
      <c r="I11" s="24" t="n">
        <f aca="false">G11+H11</f>
        <v>32982.17</v>
      </c>
      <c r="J11" s="24" t="n">
        <f aca="false">D11-I11</f>
        <v>0</v>
      </c>
      <c r="K11" s="25" t="s">
        <v>66</v>
      </c>
      <c r="L11" s="25" t="s">
        <v>67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18</v>
      </c>
      <c r="D12" s="24" t="n">
        <v>61841.63</v>
      </c>
      <c r="E12" s="24" t="n">
        <v>0</v>
      </c>
      <c r="F12" s="24" t="n">
        <v>61841.63</v>
      </c>
      <c r="G12" s="24" t="n">
        <v>61841.63</v>
      </c>
      <c r="H12" s="24" t="n">
        <v>0</v>
      </c>
      <c r="I12" s="24" t="n">
        <f aca="false">G12+H12</f>
        <v>61841.63</v>
      </c>
      <c r="J12" s="24" t="n">
        <f aca="false">D12-I12</f>
        <v>0</v>
      </c>
      <c r="K12" s="25" t="s">
        <v>68</v>
      </c>
      <c r="L12" s="25" t="s">
        <v>69</v>
      </c>
    </row>
    <row r="13" customFormat="false" ht="15" hidden="false" customHeight="false" outlineLevel="0" collapsed="false">
      <c r="A13" s="26"/>
      <c r="B13" s="27" t="s">
        <v>22</v>
      </c>
      <c r="C13" s="26"/>
      <c r="D13" s="28" t="n">
        <f aca="false">SUM(D10:D12)</f>
        <v>397500.19</v>
      </c>
      <c r="E13" s="28" t="n">
        <f aca="false">SUM(E10:E12)</f>
        <v>0</v>
      </c>
      <c r="F13" s="28" t="n">
        <f aca="false">SUM(F10:F12)</f>
        <v>94823.8</v>
      </c>
      <c r="G13" s="28" t="n">
        <f aca="false">SUM(G10:G12)</f>
        <v>120046.87</v>
      </c>
      <c r="H13" s="28" t="n">
        <f aca="false">SUM(H10:H12)</f>
        <v>11006.44</v>
      </c>
      <c r="I13" s="28" t="n">
        <f aca="false">SUM(I10:I12)</f>
        <v>131053.31</v>
      </c>
      <c r="J13" s="28" t="n">
        <f aca="false">SUM(J10:J12)</f>
        <v>266446.88</v>
      </c>
      <c r="K13" s="26"/>
      <c r="L13" s="26"/>
    </row>
    <row r="15" customFormat="false" ht="15" hidden="false" customHeight="false" outlineLevel="0" collapsed="false">
      <c r="A15" s="21" t="s">
        <v>70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52</v>
      </c>
      <c r="B16" s="4" t="s">
        <v>53</v>
      </c>
      <c r="C16" s="4" t="s">
        <v>54</v>
      </c>
      <c r="D16" s="4" t="s">
        <v>55</v>
      </c>
      <c r="E16" s="4" t="s">
        <v>56</v>
      </c>
      <c r="F16" s="4" t="s">
        <v>57</v>
      </c>
      <c r="G16" s="4" t="s">
        <v>58</v>
      </c>
      <c r="H16" s="4" t="s">
        <v>59</v>
      </c>
      <c r="I16" s="4" t="s">
        <v>60</v>
      </c>
      <c r="J16" s="4" t="s">
        <v>61</v>
      </c>
      <c r="K16" s="4" t="s">
        <v>62</v>
      </c>
      <c r="L16" s="4" t="s">
        <v>63</v>
      </c>
    </row>
    <row r="17" customFormat="false" ht="15" hidden="false" customHeight="false" outlineLevel="0" collapsed="false">
      <c r="A17" s="23" t="n">
        <v>1</v>
      </c>
      <c r="B17" s="23" t="s">
        <v>33</v>
      </c>
      <c r="C17" s="23" t="s">
        <v>18</v>
      </c>
      <c r="D17" s="24" t="n">
        <v>83590.83</v>
      </c>
      <c r="E17" s="24" t="n">
        <v>0</v>
      </c>
      <c r="F17" s="24" t="n">
        <v>83590.83</v>
      </c>
      <c r="G17" s="24" t="n">
        <v>83590.83</v>
      </c>
      <c r="H17" s="24" t="n">
        <v>0</v>
      </c>
      <c r="I17" s="24" t="n">
        <f aca="false">G17+H17</f>
        <v>83590.83</v>
      </c>
      <c r="J17" s="24" t="n">
        <f aca="false">D17-I17</f>
        <v>0</v>
      </c>
      <c r="K17" s="25" t="s">
        <v>68</v>
      </c>
      <c r="L17" s="25" t="s">
        <v>69</v>
      </c>
    </row>
    <row r="18" customFormat="false" ht="15" hidden="false" customHeight="false" outlineLevel="0" collapsed="false">
      <c r="A18" s="23" t="n">
        <v>2</v>
      </c>
      <c r="B18" s="23" t="s">
        <v>26</v>
      </c>
      <c r="C18" s="23" t="s">
        <v>18</v>
      </c>
      <c r="D18" s="24" t="n">
        <v>219085.56</v>
      </c>
      <c r="E18" s="24" t="n">
        <v>0</v>
      </c>
      <c r="F18" s="24" t="n">
        <v>0</v>
      </c>
      <c r="G18" s="24" t="n">
        <v>18257.13</v>
      </c>
      <c r="H18" s="24" t="n">
        <v>7966.75</v>
      </c>
      <c r="I18" s="24" t="n">
        <f aca="false">G18+H18</f>
        <v>26223.88</v>
      </c>
      <c r="J18" s="24" t="n">
        <f aca="false">D18-I18</f>
        <v>192861.68</v>
      </c>
      <c r="K18" s="25" t="s">
        <v>64</v>
      </c>
      <c r="L18" s="25" t="s">
        <v>65</v>
      </c>
    </row>
    <row r="19" customFormat="false" ht="15" hidden="false" customHeight="false" outlineLevel="0" collapsed="false">
      <c r="A19" s="23" t="n">
        <v>3</v>
      </c>
      <c r="B19" s="23" t="s">
        <v>34</v>
      </c>
      <c r="C19" s="23" t="s">
        <v>18</v>
      </c>
      <c r="D19" s="24" t="n">
        <v>9108.76</v>
      </c>
      <c r="E19" s="24" t="n">
        <v>0</v>
      </c>
      <c r="F19" s="24" t="n">
        <v>9108.76</v>
      </c>
      <c r="G19" s="24" t="n">
        <v>9108.76</v>
      </c>
      <c r="H19" s="24" t="n">
        <v>0</v>
      </c>
      <c r="I19" s="24" t="n">
        <f aca="false">G19+H19</f>
        <v>9108.76</v>
      </c>
      <c r="J19" s="24" t="n">
        <f aca="false">D19-I19</f>
        <v>0</v>
      </c>
      <c r="K19" s="25" t="s">
        <v>68</v>
      </c>
      <c r="L19" s="25" t="s">
        <v>69</v>
      </c>
    </row>
    <row r="20" customFormat="false" ht="15" hidden="false" customHeight="false" outlineLevel="0" collapsed="false">
      <c r="A20" s="23" t="n">
        <v>4</v>
      </c>
      <c r="B20" s="23" t="s">
        <v>26</v>
      </c>
      <c r="C20" s="23" t="s">
        <v>18</v>
      </c>
      <c r="D20" s="24" t="n">
        <v>23873.41</v>
      </c>
      <c r="E20" s="24" t="n">
        <v>0</v>
      </c>
      <c r="F20" s="24" t="n">
        <v>0</v>
      </c>
      <c r="G20" s="24" t="n">
        <v>1989.44</v>
      </c>
      <c r="H20" s="24" t="n">
        <v>868.12</v>
      </c>
      <c r="I20" s="24" t="n">
        <f aca="false">G20+H20</f>
        <v>2857.56</v>
      </c>
      <c r="J20" s="24" t="n">
        <f aca="false">D20-I20</f>
        <v>21015.85</v>
      </c>
      <c r="K20" s="25" t="s">
        <v>64</v>
      </c>
      <c r="L20" s="25" t="s">
        <v>65</v>
      </c>
    </row>
    <row r="21" customFormat="false" ht="15" hidden="false" customHeight="false" outlineLevel="0" collapsed="false">
      <c r="A21" s="23" t="n">
        <v>5</v>
      </c>
      <c r="B21" s="23" t="s">
        <v>35</v>
      </c>
      <c r="C21" s="23" t="s">
        <v>18</v>
      </c>
      <c r="D21" s="24" t="n">
        <v>17078.94</v>
      </c>
      <c r="E21" s="24" t="n">
        <v>0</v>
      </c>
      <c r="F21" s="24" t="n">
        <v>17078.94</v>
      </c>
      <c r="G21" s="24" t="n">
        <v>17078.94</v>
      </c>
      <c r="H21" s="24" t="n">
        <v>0</v>
      </c>
      <c r="I21" s="24" t="n">
        <f aca="false">G21+H21</f>
        <v>17078.94</v>
      </c>
      <c r="J21" s="24" t="n">
        <f aca="false">D21-I21</f>
        <v>0</v>
      </c>
      <c r="K21" s="25" t="s">
        <v>68</v>
      </c>
      <c r="L21" s="25" t="s">
        <v>69</v>
      </c>
    </row>
    <row r="22" customFormat="false" ht="15" hidden="false" customHeight="false" outlineLevel="0" collapsed="false">
      <c r="A22" s="23" t="n">
        <v>6</v>
      </c>
      <c r="B22" s="23" t="s">
        <v>32</v>
      </c>
      <c r="C22" s="23" t="s">
        <v>18</v>
      </c>
      <c r="D22" s="24" t="n">
        <v>44762.69</v>
      </c>
      <c r="E22" s="24" t="n">
        <v>0</v>
      </c>
      <c r="F22" s="24" t="n">
        <v>0</v>
      </c>
      <c r="G22" s="24" t="n">
        <v>3730.22</v>
      </c>
      <c r="H22" s="24" t="n">
        <v>1627.73</v>
      </c>
      <c r="I22" s="24" t="n">
        <f aca="false">G22+H22</f>
        <v>5357.95</v>
      </c>
      <c r="J22" s="24" t="n">
        <f aca="false">D22-I22</f>
        <v>39404.74</v>
      </c>
      <c r="K22" s="25" t="s">
        <v>64</v>
      </c>
      <c r="L22" s="25" t="s">
        <v>65</v>
      </c>
    </row>
    <row r="23" customFormat="false" ht="15" hidden="false" customHeight="false" outlineLevel="0" collapsed="false">
      <c r="A23" s="26"/>
      <c r="B23" s="27" t="s">
        <v>22</v>
      </c>
      <c r="C23" s="26"/>
      <c r="D23" s="28" t="n">
        <f aca="false">SUM(D17:D22)</f>
        <v>397500.19</v>
      </c>
      <c r="E23" s="28" t="n">
        <f aca="false">SUM(E17:E22)</f>
        <v>0</v>
      </c>
      <c r="F23" s="28" t="n">
        <f aca="false">SUM(F17:F22)</f>
        <v>109778.53</v>
      </c>
      <c r="G23" s="28" t="n">
        <f aca="false">SUM(G17:G22)</f>
        <v>133755.32</v>
      </c>
      <c r="H23" s="28" t="n">
        <f aca="false">SUM(H17:H22)</f>
        <v>10462.6</v>
      </c>
      <c r="I23" s="28" t="n">
        <f aca="false">SUM(I17:I22)</f>
        <v>144217.92</v>
      </c>
      <c r="J23" s="28" t="n">
        <f aca="false">SUM(J17:J22)</f>
        <v>253282.27</v>
      </c>
      <c r="K23" s="26"/>
      <c r="L23" s="26"/>
    </row>
    <row r="25" customFormat="false" ht="15" hidden="false" customHeight="false" outlineLevel="0" collapsed="false">
      <c r="B25" s="18" t="s">
        <v>72</v>
      </c>
    </row>
    <row r="26" customFormat="false" ht="15" hidden="false" customHeight="false" outlineLevel="0" collapsed="false">
      <c r="B26" s="5" t="s">
        <v>73</v>
      </c>
      <c r="D26" s="6" t="n">
        <f aca="false">I13</f>
        <v>131053.31</v>
      </c>
    </row>
    <row r="27" customFormat="false" ht="15" hidden="false" customHeight="false" outlineLevel="0" collapsed="false">
      <c r="B27" s="5" t="s">
        <v>74</v>
      </c>
      <c r="D27" s="6" t="n">
        <f aca="false">I23</f>
        <v>144217.92</v>
      </c>
    </row>
    <row r="28" customFormat="false" ht="15" hidden="false" customHeight="false" outlineLevel="0" collapsed="false">
      <c r="B28" s="11" t="s">
        <v>72</v>
      </c>
      <c r="D28" s="29" t="n">
        <f aca="false">D26-D27</f>
        <v>-13164.61</v>
      </c>
    </row>
    <row r="30" customFormat="false" ht="15" hidden="false" customHeight="false" outlineLevel="0" collapsed="false">
      <c r="A30" s="10" t="s">
        <v>75</v>
      </c>
    </row>
    <row r="31" customFormat="false" ht="15" hidden="false" customHeight="false" outlineLevel="0" collapsed="false">
      <c r="A31" s="21" t="s">
        <v>76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52</v>
      </c>
      <c r="B32" s="4" t="s">
        <v>53</v>
      </c>
      <c r="C32" s="4" t="s">
        <v>54</v>
      </c>
      <c r="D32" s="4" t="s">
        <v>55</v>
      </c>
      <c r="E32" s="4" t="s">
        <v>56</v>
      </c>
      <c r="F32" s="4" t="s">
        <v>57</v>
      </c>
      <c r="G32" s="4" t="s">
        <v>77</v>
      </c>
      <c r="H32" s="4" t="s">
        <v>78</v>
      </c>
      <c r="I32" s="4" t="s">
        <v>60</v>
      </c>
      <c r="J32" s="4" t="s">
        <v>61</v>
      </c>
      <c r="K32" s="4" t="s">
        <v>62</v>
      </c>
      <c r="L32" s="4" t="s">
        <v>63</v>
      </c>
    </row>
    <row r="33" customFormat="false" ht="15" hidden="false" customHeight="false" outlineLevel="0" collapsed="false">
      <c r="A33" s="23" t="n">
        <v>1</v>
      </c>
      <c r="B33" s="23" t="s">
        <v>19</v>
      </c>
      <c r="C33" s="23" t="s">
        <v>18</v>
      </c>
      <c r="D33" s="24" t="n">
        <v>302676.39</v>
      </c>
      <c r="E33" s="24" t="n">
        <v>0</v>
      </c>
      <c r="F33" s="24" t="n">
        <v>0</v>
      </c>
      <c r="G33" s="24" t="n">
        <v>25223.07</v>
      </c>
      <c r="H33" s="24" t="n">
        <v>11006.44</v>
      </c>
      <c r="I33" s="24" t="n">
        <f aca="false">G33+H33</f>
        <v>36229.51</v>
      </c>
      <c r="J33" s="24" t="n">
        <f aca="false">D33-I33</f>
        <v>266446.88</v>
      </c>
      <c r="K33" s="25" t="s">
        <v>64</v>
      </c>
      <c r="L33" s="25" t="s">
        <v>65</v>
      </c>
    </row>
    <row r="34" customFormat="false" ht="15" hidden="false" customHeight="false" outlineLevel="0" collapsed="false">
      <c r="A34" s="23" t="n">
        <v>2</v>
      </c>
      <c r="B34" s="23" t="s">
        <v>20</v>
      </c>
      <c r="C34" s="23" t="s">
        <v>18</v>
      </c>
      <c r="D34" s="24" t="n">
        <v>32982.17</v>
      </c>
      <c r="E34" s="24" t="n">
        <v>0</v>
      </c>
      <c r="F34" s="24" t="n">
        <v>32982.17</v>
      </c>
      <c r="G34" s="24" t="n">
        <v>32982.17</v>
      </c>
      <c r="H34" s="24" t="n">
        <v>0</v>
      </c>
      <c r="I34" s="24" t="n">
        <f aca="false">G34+H34</f>
        <v>32982.17</v>
      </c>
      <c r="J34" s="24" t="n">
        <f aca="false">D34-I34</f>
        <v>0</v>
      </c>
      <c r="K34" s="25" t="s">
        <v>66</v>
      </c>
      <c r="L34" s="25" t="s">
        <v>67</v>
      </c>
    </row>
    <row r="35" customFormat="false" ht="15" hidden="false" customHeight="false" outlineLevel="0" collapsed="false">
      <c r="A35" s="23" t="n">
        <v>3</v>
      </c>
      <c r="B35" s="23" t="s">
        <v>21</v>
      </c>
      <c r="C35" s="23" t="s">
        <v>18</v>
      </c>
      <c r="D35" s="24" t="n">
        <v>61841.63</v>
      </c>
      <c r="E35" s="24" t="n">
        <v>0</v>
      </c>
      <c r="F35" s="24" t="n">
        <v>61841.63</v>
      </c>
      <c r="G35" s="24" t="n">
        <v>61841.63</v>
      </c>
      <c r="H35" s="24" t="n">
        <v>0</v>
      </c>
      <c r="I35" s="24" t="n">
        <f aca="false">G35+H35</f>
        <v>61841.63</v>
      </c>
      <c r="J35" s="24" t="n">
        <f aca="false">D35-I35</f>
        <v>0</v>
      </c>
      <c r="K35" s="25" t="s">
        <v>68</v>
      </c>
      <c r="L35" s="25" t="s">
        <v>69</v>
      </c>
    </row>
    <row r="36" customFormat="false" ht="15" hidden="false" customHeight="false" outlineLevel="0" collapsed="false">
      <c r="A36" s="26"/>
      <c r="B36" s="27" t="s">
        <v>22</v>
      </c>
      <c r="C36" s="26"/>
      <c r="D36" s="28" t="n">
        <f aca="false">SUM(D33:D35)</f>
        <v>397500.19</v>
      </c>
      <c r="E36" s="28" t="n">
        <f aca="false">SUM(E33:E35)</f>
        <v>0</v>
      </c>
      <c r="F36" s="28" t="n">
        <f aca="false">SUM(F33:F35)</f>
        <v>94823.8</v>
      </c>
      <c r="G36" s="28" t="n">
        <f aca="false">SUM(G33:G35)</f>
        <v>120046.87</v>
      </c>
      <c r="H36" s="28" t="n">
        <f aca="false">SUM(H33:H35)</f>
        <v>11006.44</v>
      </c>
      <c r="I36" s="28" t="n">
        <f aca="false">SUM(I33:I35)</f>
        <v>131053.31</v>
      </c>
      <c r="J36" s="28" t="n">
        <f aca="false">SUM(J33:J35)</f>
        <v>266446.88</v>
      </c>
      <c r="K36" s="26"/>
      <c r="L36" s="26"/>
    </row>
    <row r="38" customFormat="false" ht="15" hidden="false" customHeight="false" outlineLevel="0" collapsed="false">
      <c r="A38" s="21" t="s">
        <v>79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52</v>
      </c>
      <c r="B39" s="4" t="s">
        <v>53</v>
      </c>
      <c r="C39" s="4" t="s">
        <v>54</v>
      </c>
      <c r="D39" s="4" t="s">
        <v>55</v>
      </c>
      <c r="E39" s="4" t="s">
        <v>56</v>
      </c>
      <c r="F39" s="4" t="s">
        <v>57</v>
      </c>
      <c r="G39" s="4" t="s">
        <v>77</v>
      </c>
      <c r="H39" s="4" t="s">
        <v>78</v>
      </c>
      <c r="I39" s="4" t="s">
        <v>60</v>
      </c>
      <c r="J39" s="4" t="s">
        <v>61</v>
      </c>
      <c r="K39" s="4" t="s">
        <v>62</v>
      </c>
      <c r="L39" s="4" t="s">
        <v>63</v>
      </c>
    </row>
    <row r="40" customFormat="false" ht="15" hidden="false" customHeight="false" outlineLevel="0" collapsed="false">
      <c r="A40" s="23" t="n">
        <v>1</v>
      </c>
      <c r="B40" s="23" t="s">
        <v>33</v>
      </c>
      <c r="C40" s="23" t="s">
        <v>18</v>
      </c>
      <c r="D40" s="24" t="n">
        <v>83590.83</v>
      </c>
      <c r="E40" s="24" t="n">
        <v>0</v>
      </c>
      <c r="F40" s="24" t="n">
        <v>83590.83</v>
      </c>
      <c r="G40" s="24" t="n">
        <v>83590.83</v>
      </c>
      <c r="H40" s="24" t="n">
        <v>0</v>
      </c>
      <c r="I40" s="24" t="n">
        <f aca="false">G40+H40</f>
        <v>83590.83</v>
      </c>
      <c r="J40" s="24" t="n">
        <f aca="false">D40-I40</f>
        <v>0</v>
      </c>
      <c r="K40" s="25" t="s">
        <v>68</v>
      </c>
      <c r="L40" s="25" t="s">
        <v>69</v>
      </c>
    </row>
    <row r="41" customFormat="false" ht="15" hidden="false" customHeight="false" outlineLevel="0" collapsed="false">
      <c r="A41" s="23" t="n">
        <v>2</v>
      </c>
      <c r="B41" s="23" t="s">
        <v>26</v>
      </c>
      <c r="C41" s="23" t="s">
        <v>18</v>
      </c>
      <c r="D41" s="24" t="n">
        <v>219085.56</v>
      </c>
      <c r="E41" s="24" t="n">
        <v>0</v>
      </c>
      <c r="F41" s="24" t="n">
        <v>0</v>
      </c>
      <c r="G41" s="24" t="n">
        <v>18257.13</v>
      </c>
      <c r="H41" s="24" t="n">
        <v>7966.75</v>
      </c>
      <c r="I41" s="24" t="n">
        <f aca="false">G41+H41</f>
        <v>26223.88</v>
      </c>
      <c r="J41" s="24" t="n">
        <f aca="false">D41-I41</f>
        <v>192861.68</v>
      </c>
      <c r="K41" s="25" t="s">
        <v>64</v>
      </c>
      <c r="L41" s="25" t="s">
        <v>65</v>
      </c>
    </row>
    <row r="42" customFormat="false" ht="15" hidden="false" customHeight="false" outlineLevel="0" collapsed="false">
      <c r="A42" s="23" t="n">
        <v>3</v>
      </c>
      <c r="B42" s="23" t="s">
        <v>34</v>
      </c>
      <c r="C42" s="23" t="s">
        <v>18</v>
      </c>
      <c r="D42" s="24" t="n">
        <v>9108.76</v>
      </c>
      <c r="E42" s="24" t="n">
        <v>0</v>
      </c>
      <c r="F42" s="24" t="n">
        <v>9108.76</v>
      </c>
      <c r="G42" s="24" t="n">
        <v>9108.76</v>
      </c>
      <c r="H42" s="24" t="n">
        <v>0</v>
      </c>
      <c r="I42" s="24" t="n">
        <f aca="false">G42+H42</f>
        <v>9108.76</v>
      </c>
      <c r="J42" s="24" t="n">
        <f aca="false">D42-I42</f>
        <v>0</v>
      </c>
      <c r="K42" s="25" t="s">
        <v>68</v>
      </c>
      <c r="L42" s="25" t="s">
        <v>69</v>
      </c>
    </row>
    <row r="43" customFormat="false" ht="15" hidden="false" customHeight="false" outlineLevel="0" collapsed="false">
      <c r="A43" s="23" t="n">
        <v>4</v>
      </c>
      <c r="B43" s="23" t="s">
        <v>26</v>
      </c>
      <c r="C43" s="23" t="s">
        <v>18</v>
      </c>
      <c r="D43" s="24" t="n">
        <v>23873.41</v>
      </c>
      <c r="E43" s="24" t="n">
        <v>0</v>
      </c>
      <c r="F43" s="24" t="n">
        <v>0</v>
      </c>
      <c r="G43" s="24" t="n">
        <v>1989.44</v>
      </c>
      <c r="H43" s="24" t="n">
        <v>868.12</v>
      </c>
      <c r="I43" s="24" t="n">
        <f aca="false">G43+H43</f>
        <v>2857.56</v>
      </c>
      <c r="J43" s="24" t="n">
        <f aca="false">D43-I43</f>
        <v>21015.85</v>
      </c>
      <c r="K43" s="25" t="s">
        <v>64</v>
      </c>
      <c r="L43" s="25" t="s">
        <v>65</v>
      </c>
    </row>
    <row r="44" customFormat="false" ht="15" hidden="false" customHeight="false" outlineLevel="0" collapsed="false">
      <c r="A44" s="23" t="n">
        <v>5</v>
      </c>
      <c r="B44" s="23" t="s">
        <v>35</v>
      </c>
      <c r="C44" s="23" t="s">
        <v>18</v>
      </c>
      <c r="D44" s="24" t="n">
        <v>17078.94</v>
      </c>
      <c r="E44" s="24" t="n">
        <v>0</v>
      </c>
      <c r="F44" s="24" t="n">
        <v>17078.94</v>
      </c>
      <c r="G44" s="24" t="n">
        <v>17078.94</v>
      </c>
      <c r="H44" s="24" t="n">
        <v>0</v>
      </c>
      <c r="I44" s="24" t="n">
        <f aca="false">G44+H44</f>
        <v>17078.94</v>
      </c>
      <c r="J44" s="24" t="n">
        <f aca="false">D44-I44</f>
        <v>0</v>
      </c>
      <c r="K44" s="25" t="s">
        <v>68</v>
      </c>
      <c r="L44" s="25" t="s">
        <v>69</v>
      </c>
    </row>
    <row r="45" customFormat="false" ht="15" hidden="false" customHeight="false" outlineLevel="0" collapsed="false">
      <c r="A45" s="23" t="n">
        <v>6</v>
      </c>
      <c r="B45" s="23" t="s">
        <v>32</v>
      </c>
      <c r="C45" s="23" t="s">
        <v>18</v>
      </c>
      <c r="D45" s="24" t="n">
        <v>44762.69</v>
      </c>
      <c r="E45" s="24" t="n">
        <v>0</v>
      </c>
      <c r="F45" s="24" t="n">
        <v>0</v>
      </c>
      <c r="G45" s="24" t="n">
        <v>3730.22</v>
      </c>
      <c r="H45" s="24" t="n">
        <v>1627.73</v>
      </c>
      <c r="I45" s="24" t="n">
        <f aca="false">G45+H45</f>
        <v>5357.95</v>
      </c>
      <c r="J45" s="24" t="n">
        <f aca="false">D45-I45</f>
        <v>39404.74</v>
      </c>
      <c r="K45" s="25" t="s">
        <v>64</v>
      </c>
      <c r="L45" s="25" t="s">
        <v>65</v>
      </c>
    </row>
    <row r="46" customFormat="false" ht="15" hidden="false" customHeight="false" outlineLevel="0" collapsed="false">
      <c r="A46" s="26"/>
      <c r="B46" s="27" t="s">
        <v>22</v>
      </c>
      <c r="C46" s="26"/>
      <c r="D46" s="28" t="n">
        <f aca="false">SUM(D40:D45)</f>
        <v>397500.19</v>
      </c>
      <c r="E46" s="28" t="n">
        <f aca="false">SUM(E40:E45)</f>
        <v>0</v>
      </c>
      <c r="F46" s="28" t="n">
        <f aca="false">SUM(F40:F45)</f>
        <v>109778.53</v>
      </c>
      <c r="G46" s="28" t="n">
        <f aca="false">SUM(G40:G45)</f>
        <v>133755.32</v>
      </c>
      <c r="H46" s="28" t="n">
        <f aca="false">SUM(H40:H45)</f>
        <v>10462.6</v>
      </c>
      <c r="I46" s="28" t="n">
        <f aca="false">SUM(I40:I45)</f>
        <v>144217.92</v>
      </c>
      <c r="J46" s="28" t="n">
        <f aca="false">SUM(J40:J45)</f>
        <v>253282.27</v>
      </c>
      <c r="K46" s="26"/>
      <c r="L46" s="26"/>
    </row>
    <row r="48" customFormat="false" ht="15" hidden="false" customHeight="false" outlineLevel="0" collapsed="false">
      <c r="B48" s="18" t="s">
        <v>80</v>
      </c>
    </row>
    <row r="49" customFormat="false" ht="15" hidden="false" customHeight="false" outlineLevel="0" collapsed="false">
      <c r="B49" s="5" t="s">
        <v>73</v>
      </c>
      <c r="D49" s="6" t="n">
        <f aca="false">I36</f>
        <v>131053.31</v>
      </c>
    </row>
    <row r="50" customFormat="false" ht="15" hidden="false" customHeight="false" outlineLevel="0" collapsed="false">
      <c r="B50" s="5" t="s">
        <v>74</v>
      </c>
      <c r="D50" s="6" t="n">
        <f aca="false">I46</f>
        <v>144217.92</v>
      </c>
    </row>
    <row r="51" customFormat="false" ht="15" hidden="false" customHeight="false" outlineLevel="0" collapsed="false">
      <c r="B51" s="11" t="s">
        <v>80</v>
      </c>
      <c r="D51" s="29" t="n">
        <f aca="false">D49-D50</f>
        <v>-13164.61</v>
      </c>
    </row>
    <row r="53" customFormat="false" ht="15" hidden="false" customHeight="false" outlineLevel="0" collapsed="false">
      <c r="A53" s="10" t="s">
        <v>81</v>
      </c>
    </row>
    <row r="54" customFormat="false" ht="15" hidden="false" customHeight="false" outlineLevel="0" collapsed="false">
      <c r="B54" s="11" t="s">
        <v>115</v>
      </c>
      <c r="D54" s="12" t="n">
        <f aca="false">D94</f>
        <v>397500.19</v>
      </c>
    </row>
    <row r="55" customFormat="false" ht="15" hidden="false" customHeight="false" outlineLevel="0" collapsed="false">
      <c r="B55" s="5" t="s">
        <v>116</v>
      </c>
      <c r="D55" s="6" t="n">
        <f aca="false">F94</f>
        <v>109778.53</v>
      </c>
    </row>
    <row r="56" customFormat="false" ht="15" hidden="false" customHeight="false" outlineLevel="0" collapsed="false">
      <c r="B56" s="30" t="s">
        <v>84</v>
      </c>
      <c r="D56" s="31" t="n">
        <f aca="false">F95</f>
        <v>0.276172270508852</v>
      </c>
    </row>
    <row r="57" customFormat="false" ht="15" hidden="false" customHeight="false" outlineLevel="0" collapsed="false">
      <c r="B57" s="5" t="s">
        <v>117</v>
      </c>
      <c r="D57" s="6" t="n">
        <f aca="false">H94</f>
        <v>287721.66</v>
      </c>
    </row>
    <row r="58" customFormat="false" ht="15" hidden="false" customHeight="false" outlineLevel="0" collapsed="false">
      <c r="B58" s="30" t="s">
        <v>84</v>
      </c>
      <c r="D58" s="31" t="n">
        <f aca="false">H95</f>
        <v>0.723827729491148</v>
      </c>
    </row>
    <row r="60" customFormat="false" ht="15" hidden="false" customHeight="false" outlineLevel="0" collapsed="false">
      <c r="A60" s="10" t="s">
        <v>87</v>
      </c>
    </row>
    <row r="61" customFormat="false" ht="15" hidden="false" customHeight="false" outlineLevel="0" collapsed="false">
      <c r="B61" s="4" t="s">
        <v>88</v>
      </c>
      <c r="D61" s="4" t="s">
        <v>55</v>
      </c>
      <c r="F61" s="4" t="s">
        <v>118</v>
      </c>
      <c r="H61" s="4" t="s">
        <v>91</v>
      </c>
    </row>
    <row r="62" customFormat="false" ht="15" hidden="false" customHeight="false" outlineLevel="0" collapsed="false">
      <c r="B62" s="32" t="s">
        <v>119</v>
      </c>
    </row>
    <row r="63" customFormat="false" ht="15" hidden="false" customHeight="false" outlineLevel="0" collapsed="false">
      <c r="B63" s="5" t="s">
        <v>120</v>
      </c>
      <c r="D63" s="33" t="n">
        <f aca="false">SUM(F63:H63)</f>
        <v>26445.19</v>
      </c>
      <c r="F63" s="33" t="n">
        <v>26445.19</v>
      </c>
    </row>
    <row r="64" customFormat="false" ht="15" hidden="false" customHeight="false" outlineLevel="0" collapsed="false">
      <c r="B64" s="5" t="s">
        <v>121</v>
      </c>
      <c r="D64" s="33" t="n">
        <f aca="false">SUM(F64:H64)</f>
        <v>4635.69</v>
      </c>
      <c r="F64" s="33" t="n">
        <v>4635.69</v>
      </c>
    </row>
    <row r="65" customFormat="false" ht="15" hidden="false" customHeight="false" outlineLevel="0" collapsed="false">
      <c r="B65" s="5" t="s">
        <v>151</v>
      </c>
      <c r="D65" s="33" t="n">
        <f aca="false">SUM(F65:H65)</f>
        <v>9118.09</v>
      </c>
      <c r="F65" s="33" t="n">
        <v>9118.09</v>
      </c>
    </row>
    <row r="66" customFormat="false" ht="15" hidden="false" customHeight="false" outlineLevel="0" collapsed="false">
      <c r="B66" s="5" t="s">
        <v>122</v>
      </c>
      <c r="D66" s="33" t="n">
        <f aca="false">SUM(F66:H66)</f>
        <v>17166.07</v>
      </c>
      <c r="F66" s="33" t="n">
        <v>17166.07</v>
      </c>
    </row>
    <row r="67" customFormat="false" ht="15" hidden="false" customHeight="false" outlineLevel="0" collapsed="false">
      <c r="B67" s="5" t="s">
        <v>123</v>
      </c>
      <c r="D67" s="33" t="n">
        <f aca="false">SUM(F67:H67)</f>
        <v>2842.52</v>
      </c>
      <c r="F67" s="33" t="n">
        <v>2842.52</v>
      </c>
    </row>
    <row r="68" customFormat="false" ht="15" hidden="false" customHeight="false" outlineLevel="0" collapsed="false">
      <c r="B68" s="5" t="s">
        <v>124</v>
      </c>
      <c r="D68" s="33" t="n">
        <f aca="false">SUM(F68:H68)</f>
        <v>2418.44</v>
      </c>
      <c r="F68" s="33" t="n">
        <v>2418.44</v>
      </c>
    </row>
    <row r="69" customFormat="false" ht="15" hidden="false" customHeight="false" outlineLevel="0" collapsed="false">
      <c r="B69" s="5" t="s">
        <v>125</v>
      </c>
      <c r="D69" s="33" t="n">
        <f aca="false">SUM(F69:H69)</f>
        <v>718.3</v>
      </c>
      <c r="F69" s="33" t="n">
        <v>718.3</v>
      </c>
    </row>
    <row r="70" customFormat="false" ht="15" hidden="false" customHeight="false" outlineLevel="0" collapsed="false">
      <c r="B70" s="5" t="s">
        <v>126</v>
      </c>
      <c r="D70" s="33" t="n">
        <f aca="false">SUM(F70:H70)</f>
        <v>705.03</v>
      </c>
      <c r="F70" s="33" t="n">
        <v>705.03</v>
      </c>
    </row>
    <row r="71" customFormat="false" ht="15" hidden="false" customHeight="false" outlineLevel="0" collapsed="false">
      <c r="B71" s="5" t="s">
        <v>127</v>
      </c>
      <c r="D71" s="33" t="n">
        <f aca="false">SUM(F71:H71)</f>
        <v>12363.8</v>
      </c>
      <c r="F71" s="33" t="n">
        <v>12363.8</v>
      </c>
    </row>
    <row r="72" customFormat="false" ht="15" hidden="false" customHeight="false" outlineLevel="0" collapsed="false">
      <c r="B72" s="5" t="s">
        <v>128</v>
      </c>
      <c r="D72" s="33" t="n">
        <f aca="false">SUM(F72:H72)</f>
        <v>2600.58</v>
      </c>
      <c r="F72" s="33" t="n">
        <v>2600.58</v>
      </c>
    </row>
    <row r="73" customFormat="false" ht="15" hidden="false" customHeight="false" outlineLevel="0" collapsed="false">
      <c r="B73" s="5" t="s">
        <v>129</v>
      </c>
      <c r="D73" s="33" t="n">
        <f aca="false">SUM(F73:H73)</f>
        <v>13431.92</v>
      </c>
      <c r="F73" s="33" t="n">
        <v>13431.92</v>
      </c>
    </row>
    <row r="74" customFormat="false" ht="15" hidden="false" customHeight="false" outlineLevel="0" collapsed="false">
      <c r="B74" s="5" t="s">
        <v>130</v>
      </c>
      <c r="D74" s="33" t="n">
        <f aca="false">SUM(F74:H74)</f>
        <v>1140.5</v>
      </c>
      <c r="F74" s="33" t="n">
        <v>1140.5</v>
      </c>
    </row>
    <row r="75" customFormat="false" ht="15" hidden="false" customHeight="false" outlineLevel="0" collapsed="false">
      <c r="B75" s="5" t="s">
        <v>131</v>
      </c>
      <c r="D75" s="33" t="n">
        <f aca="false">SUM(F75:H75)</f>
        <v>1360.86</v>
      </c>
      <c r="F75" s="33" t="n">
        <v>1360.86</v>
      </c>
    </row>
    <row r="76" customFormat="false" ht="15" hidden="false" customHeight="false" outlineLevel="0" collapsed="false">
      <c r="B76" s="5" t="s">
        <v>132</v>
      </c>
      <c r="D76" s="33" t="n">
        <f aca="false">SUM(F76:H76)</f>
        <v>14831.54</v>
      </c>
      <c r="F76" s="33" t="n">
        <v>14831.54</v>
      </c>
    </row>
    <row r="77" customFormat="false" ht="15" hidden="false" customHeight="false" outlineLevel="0" collapsed="false">
      <c r="B77" s="32" t="s">
        <v>133</v>
      </c>
    </row>
    <row r="78" customFormat="false" ht="15" hidden="false" customHeight="false" outlineLevel="0" collapsed="false">
      <c r="B78" s="5" t="s">
        <v>134</v>
      </c>
      <c r="D78" s="33" t="n">
        <f aca="false">SUM(F78:H78)</f>
        <v>19166.81</v>
      </c>
      <c r="H78" s="33" t="n">
        <v>19166.81</v>
      </c>
    </row>
    <row r="79" customFormat="false" ht="15" hidden="false" customHeight="false" outlineLevel="0" collapsed="false">
      <c r="B79" s="5" t="s">
        <v>135</v>
      </c>
      <c r="D79" s="33" t="n">
        <f aca="false">SUM(F79:H79)</f>
        <v>26894.18</v>
      </c>
      <c r="H79" s="33" t="n">
        <v>26894.18</v>
      </c>
    </row>
    <row r="80" customFormat="false" ht="15" hidden="false" customHeight="false" outlineLevel="0" collapsed="false">
      <c r="B80" s="5" t="s">
        <v>136</v>
      </c>
      <c r="D80" s="33" t="n">
        <f aca="false">SUM(F80:H80)</f>
        <v>19273.71</v>
      </c>
      <c r="H80" s="33" t="n">
        <v>19273.71</v>
      </c>
    </row>
    <row r="81" customFormat="false" ht="15" hidden="false" customHeight="false" outlineLevel="0" collapsed="false">
      <c r="B81" s="5" t="s">
        <v>137</v>
      </c>
      <c r="D81" s="33" t="n">
        <f aca="false">SUM(F81:H81)</f>
        <v>24003.39</v>
      </c>
      <c r="H81" s="33" t="n">
        <v>24003.39</v>
      </c>
    </row>
    <row r="82" customFormat="false" ht="15" hidden="false" customHeight="false" outlineLevel="0" collapsed="false">
      <c r="B82" s="5" t="s">
        <v>138</v>
      </c>
      <c r="D82" s="33" t="n">
        <f aca="false">SUM(F82:H82)</f>
        <v>23233.4</v>
      </c>
      <c r="H82" s="33" t="n">
        <v>23233.4</v>
      </c>
    </row>
    <row r="83" customFormat="false" ht="15" hidden="false" customHeight="false" outlineLevel="0" collapsed="false">
      <c r="B83" s="5" t="s">
        <v>139</v>
      </c>
      <c r="D83" s="33" t="n">
        <f aca="false">SUM(F83:H83)</f>
        <v>8832.92</v>
      </c>
      <c r="H83" s="33" t="n">
        <v>8832.92</v>
      </c>
    </row>
    <row r="84" customFormat="false" ht="15" hidden="false" customHeight="false" outlineLevel="0" collapsed="false">
      <c r="B84" s="5" t="s">
        <v>140</v>
      </c>
      <c r="D84" s="33" t="n">
        <f aca="false">SUM(F84:H84)</f>
        <v>17315.31</v>
      </c>
      <c r="H84" s="33" t="n">
        <v>17315.31</v>
      </c>
    </row>
    <row r="85" customFormat="false" ht="15" hidden="false" customHeight="false" outlineLevel="0" collapsed="false">
      <c r="B85" s="5" t="s">
        <v>141</v>
      </c>
      <c r="D85" s="33" t="n">
        <f aca="false">SUM(F85:H85)</f>
        <v>10659.46</v>
      </c>
      <c r="H85" s="33" t="n">
        <v>10659.46</v>
      </c>
    </row>
    <row r="86" customFormat="false" ht="15" hidden="false" customHeight="false" outlineLevel="0" collapsed="false">
      <c r="B86" s="5" t="s">
        <v>142</v>
      </c>
      <c r="D86" s="33" t="n">
        <f aca="false">SUM(F86:H86)</f>
        <v>12873.87</v>
      </c>
      <c r="H86" s="33" t="n">
        <v>12873.87</v>
      </c>
    </row>
    <row r="87" customFormat="false" ht="15" hidden="false" customHeight="false" outlineLevel="0" collapsed="false">
      <c r="B87" s="5" t="s">
        <v>143</v>
      </c>
      <c r="D87" s="33" t="n">
        <f aca="false">SUM(F87:H87)</f>
        <v>29302.11</v>
      </c>
      <c r="H87" s="33" t="n">
        <v>29302.11</v>
      </c>
    </row>
    <row r="88" customFormat="false" ht="15" hidden="false" customHeight="false" outlineLevel="0" collapsed="false">
      <c r="B88" s="5" t="s">
        <v>144</v>
      </c>
      <c r="D88" s="33" t="n">
        <f aca="false">SUM(F88:H88)</f>
        <v>11976.41</v>
      </c>
      <c r="H88" s="33" t="n">
        <v>11976.41</v>
      </c>
    </row>
    <row r="89" customFormat="false" ht="15" hidden="false" customHeight="false" outlineLevel="0" collapsed="false">
      <c r="B89" s="5" t="s">
        <v>145</v>
      </c>
      <c r="D89" s="33" t="n">
        <f aca="false">SUM(F89:H89)</f>
        <v>1737.32</v>
      </c>
      <c r="H89" s="33" t="n">
        <v>1737.32</v>
      </c>
    </row>
    <row r="90" customFormat="false" ht="15" hidden="false" customHeight="false" outlineLevel="0" collapsed="false">
      <c r="B90" s="5" t="s">
        <v>146</v>
      </c>
      <c r="D90" s="33" t="n">
        <f aca="false">SUM(F90:H90)</f>
        <v>63061.18</v>
      </c>
      <c r="H90" s="33" t="n">
        <v>63061.18</v>
      </c>
    </row>
    <row r="91" customFormat="false" ht="15" hidden="false" customHeight="false" outlineLevel="0" collapsed="false">
      <c r="B91" s="5" t="s">
        <v>147</v>
      </c>
      <c r="D91" s="33" t="n">
        <f aca="false">SUM(F91:H91)</f>
        <v>10815.9</v>
      </c>
      <c r="H91" s="33" t="n">
        <v>10815.9</v>
      </c>
    </row>
    <row r="92" customFormat="false" ht="15" hidden="false" customHeight="false" outlineLevel="0" collapsed="false">
      <c r="B92" s="5" t="s">
        <v>148</v>
      </c>
      <c r="D92" s="33" t="n">
        <f aca="false">SUM(F92:H92)</f>
        <v>5272.42</v>
      </c>
      <c r="H92" s="33" t="n">
        <v>5272.42</v>
      </c>
    </row>
    <row r="93" customFormat="false" ht="15" hidden="false" customHeight="false" outlineLevel="0" collapsed="false">
      <c r="B93" s="5" t="s">
        <v>149</v>
      </c>
      <c r="D93" s="33" t="n">
        <f aca="false">SUM(F93:H93)</f>
        <v>3303.27</v>
      </c>
      <c r="H93" s="33" t="n">
        <v>3303.27</v>
      </c>
    </row>
    <row r="94" customFormat="false" ht="15" hidden="false" customHeight="false" outlineLevel="0" collapsed="false">
      <c r="B94" s="11" t="s">
        <v>115</v>
      </c>
      <c r="D94" s="34" t="n">
        <f aca="false">SUM(D62:D93)</f>
        <v>397500.19</v>
      </c>
      <c r="F94" s="34" t="n">
        <f aca="false">SUM(F62:F93)</f>
        <v>109778.53</v>
      </c>
      <c r="H94" s="34" t="n">
        <f aca="false">SUM(H62:H93)</f>
        <v>287721.66</v>
      </c>
    </row>
    <row r="95" customFormat="false" ht="15" hidden="false" customHeight="false" outlineLevel="0" collapsed="false">
      <c r="B95" s="30" t="s">
        <v>84</v>
      </c>
      <c r="F95" s="31" t="n">
        <f aca="false">F94/D94</f>
        <v>0.276172270508852</v>
      </c>
      <c r="H95" s="31" t="n">
        <f aca="false">H94/D94</f>
        <v>0.723827729491148</v>
      </c>
    </row>
    <row r="97" customFormat="false" ht="15" hidden="false" customHeight="false" outlineLevel="0" collapsed="false">
      <c r="A97" s="10" t="s">
        <v>110</v>
      </c>
    </row>
    <row r="98" customFormat="false" ht="15" hidden="false" customHeight="false" outlineLevel="0" collapsed="false">
      <c r="B98" s="4" t="s">
        <v>111</v>
      </c>
      <c r="D98" s="4" t="s">
        <v>55</v>
      </c>
      <c r="F98" s="4" t="s">
        <v>118</v>
      </c>
      <c r="H98" s="4" t="s">
        <v>91</v>
      </c>
    </row>
    <row r="99" customFormat="false" ht="15" hidden="false" customHeight="false" outlineLevel="0" collapsed="false">
      <c r="B99" s="5" t="str">
        <f aca="false">'Bldg 6'!B17</f>
        <v>2-Building-5yr</v>
      </c>
      <c r="D99" s="33" t="n">
        <f aca="false">SUM(F99:H99)</f>
        <v>83590.83</v>
      </c>
      <c r="F99" s="33" t="n">
        <f aca="false">'Bldg 6'!D17</f>
        <v>83590.83</v>
      </c>
    </row>
    <row r="100" customFormat="false" ht="15" hidden="false" customHeight="false" outlineLevel="0" collapsed="false">
      <c r="B100" s="5" t="str">
        <f aca="false">'Bldg 6'!B18</f>
        <v>2-Building-27.5yr</v>
      </c>
      <c r="D100" s="33" t="n">
        <f aca="false">SUM(F100:H100)</f>
        <v>219085.56</v>
      </c>
      <c r="H100" s="33" t="n">
        <f aca="false">'Bldg 6'!D18</f>
        <v>219085.56</v>
      </c>
    </row>
    <row r="101" customFormat="false" ht="15" hidden="false" customHeight="false" outlineLevel="0" collapsed="false">
      <c r="B101" s="5" t="str">
        <f aca="false">'Bldg 6'!B19</f>
        <v>3-Land Improvements-5yr</v>
      </c>
      <c r="D101" s="33" t="n">
        <f aca="false">SUM(F101:H101)</f>
        <v>9108.76</v>
      </c>
      <c r="F101" s="33" t="n">
        <f aca="false">'Bldg 6'!D19</f>
        <v>9108.76</v>
      </c>
    </row>
    <row r="102" customFormat="false" ht="15" hidden="false" customHeight="false" outlineLevel="0" collapsed="false">
      <c r="B102" s="5" t="str">
        <f aca="false">'Bldg 6'!B20</f>
        <v>2-Building-27.5yr</v>
      </c>
      <c r="D102" s="33" t="n">
        <f aca="false">SUM(F102:H102)</f>
        <v>23873.41</v>
      </c>
      <c r="H102" s="33" t="n">
        <f aca="false">'Bldg 6'!D20</f>
        <v>23873.41</v>
      </c>
    </row>
    <row r="103" customFormat="false" ht="15" hidden="false" customHeight="false" outlineLevel="0" collapsed="false">
      <c r="B103" s="5" t="str">
        <f aca="false">'Bldg 6'!B21</f>
        <v>4-Equipment-5yr</v>
      </c>
      <c r="D103" s="33" t="n">
        <f aca="false">SUM(F103:H103)</f>
        <v>17078.94</v>
      </c>
      <c r="F103" s="33" t="n">
        <f aca="false">'Bldg 6'!D21</f>
        <v>17078.94</v>
      </c>
    </row>
    <row r="104" customFormat="false" ht="15" hidden="false" customHeight="false" outlineLevel="0" collapsed="false">
      <c r="B104" s="5" t="str">
        <f aca="false">'Bldg 6'!B22</f>
        <v>4-Equipment-27.5yr</v>
      </c>
      <c r="D104" s="33" t="n">
        <f aca="false">SUM(F104:H104)</f>
        <v>44762.69</v>
      </c>
      <c r="H104" s="33" t="n">
        <f aca="false">'Bldg 6'!D22</f>
        <v>44762.69</v>
      </c>
    </row>
    <row r="105" customFormat="false" ht="15" hidden="false" customHeight="false" outlineLevel="0" collapsed="false">
      <c r="B105" s="11" t="s">
        <v>112</v>
      </c>
      <c r="D105" s="34" t="n">
        <f aca="false">SUM(D99:D104)</f>
        <v>397500.19</v>
      </c>
      <c r="F105" s="34" t="n">
        <f aca="false">SUM(F99:F104)</f>
        <v>109778.53</v>
      </c>
      <c r="H105" s="34" t="n">
        <f aca="false">SUM(H99:H104)</f>
        <v>287721.66</v>
      </c>
    </row>
    <row r="106" customFormat="false" ht="15" hidden="false" customHeight="false" outlineLevel="0" collapsed="false">
      <c r="B106" s="16" t="s">
        <v>113</v>
      </c>
      <c r="D106" s="17" t="n">
        <f aca="false">D105-D94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156</v>
      </c>
    </row>
    <row r="5" customFormat="false" ht="15" hidden="false" customHeight="false" outlineLevel="0" collapsed="false">
      <c r="A5" s="16" t="s">
        <v>49</v>
      </c>
    </row>
    <row r="7" customFormat="false" ht="15" hidden="false" customHeight="false" outlineLevel="0" collapsed="false">
      <c r="A7" s="10" t="s">
        <v>50</v>
      </c>
    </row>
    <row r="8" customFormat="false" ht="15" hidden="false" customHeight="false" outlineLevel="0" collapsed="false">
      <c r="A8" s="21" t="s">
        <v>51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18</v>
      </c>
      <c r="D10" s="24" t="n">
        <v>383408.73</v>
      </c>
      <c r="E10" s="24" t="n">
        <v>0</v>
      </c>
      <c r="F10" s="24" t="n">
        <v>0</v>
      </c>
      <c r="G10" s="24" t="n">
        <v>31950.77</v>
      </c>
      <c r="H10" s="24" t="n">
        <v>13942.17</v>
      </c>
      <c r="I10" s="24" t="n">
        <f aca="false">G10+H10</f>
        <v>45892.94</v>
      </c>
      <c r="J10" s="24" t="n">
        <f aca="false">D10-I10</f>
        <v>337515.79</v>
      </c>
      <c r="K10" s="25" t="s">
        <v>64</v>
      </c>
      <c r="L10" s="25" t="s">
        <v>65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18</v>
      </c>
      <c r="D11" s="24" t="n">
        <v>41779.44</v>
      </c>
      <c r="E11" s="24" t="n">
        <v>0</v>
      </c>
      <c r="F11" s="24" t="n">
        <v>41779.44</v>
      </c>
      <c r="G11" s="24" t="n">
        <v>41779.44</v>
      </c>
      <c r="H11" s="24" t="n">
        <v>0</v>
      </c>
      <c r="I11" s="24" t="n">
        <f aca="false">G11+H11</f>
        <v>41779.44</v>
      </c>
      <c r="J11" s="24" t="n">
        <f aca="false">D11-I11</f>
        <v>0</v>
      </c>
      <c r="K11" s="25" t="s">
        <v>66</v>
      </c>
      <c r="L11" s="25" t="s">
        <v>67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18</v>
      </c>
      <c r="D12" s="24" t="n">
        <v>78336.54</v>
      </c>
      <c r="E12" s="24" t="n">
        <v>0</v>
      </c>
      <c r="F12" s="24" t="n">
        <v>78336.54</v>
      </c>
      <c r="G12" s="24" t="n">
        <v>78336.54</v>
      </c>
      <c r="H12" s="24" t="n">
        <v>0</v>
      </c>
      <c r="I12" s="24" t="n">
        <f aca="false">G12+H12</f>
        <v>78336.54</v>
      </c>
      <c r="J12" s="24" t="n">
        <f aca="false">D12-I12</f>
        <v>0</v>
      </c>
      <c r="K12" s="25" t="s">
        <v>68</v>
      </c>
      <c r="L12" s="25" t="s">
        <v>69</v>
      </c>
    </row>
    <row r="13" customFormat="false" ht="15" hidden="false" customHeight="false" outlineLevel="0" collapsed="false">
      <c r="A13" s="26"/>
      <c r="B13" s="27" t="s">
        <v>22</v>
      </c>
      <c r="C13" s="26"/>
      <c r="D13" s="28" t="n">
        <f aca="false">SUM(D10:D12)</f>
        <v>503524.71</v>
      </c>
      <c r="E13" s="28" t="n">
        <f aca="false">SUM(E10:E12)</f>
        <v>0</v>
      </c>
      <c r="F13" s="28" t="n">
        <f aca="false">SUM(F10:F12)</f>
        <v>120115.98</v>
      </c>
      <c r="G13" s="28" t="n">
        <f aca="false">SUM(G10:G12)</f>
        <v>152066.75</v>
      </c>
      <c r="H13" s="28" t="n">
        <f aca="false">SUM(H10:H12)</f>
        <v>13942.17</v>
      </c>
      <c r="I13" s="28" t="n">
        <f aca="false">SUM(I10:I12)</f>
        <v>166008.92</v>
      </c>
      <c r="J13" s="28" t="n">
        <f aca="false">SUM(J10:J12)</f>
        <v>337515.79</v>
      </c>
      <c r="K13" s="26"/>
      <c r="L13" s="26"/>
    </row>
    <row r="15" customFormat="false" ht="15" hidden="false" customHeight="false" outlineLevel="0" collapsed="false">
      <c r="A15" s="21" t="s">
        <v>70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52</v>
      </c>
      <c r="B16" s="4" t="s">
        <v>53</v>
      </c>
      <c r="C16" s="4" t="s">
        <v>54</v>
      </c>
      <c r="D16" s="4" t="s">
        <v>55</v>
      </c>
      <c r="E16" s="4" t="s">
        <v>56</v>
      </c>
      <c r="F16" s="4" t="s">
        <v>57</v>
      </c>
      <c r="G16" s="4" t="s">
        <v>58</v>
      </c>
      <c r="H16" s="4" t="s">
        <v>59</v>
      </c>
      <c r="I16" s="4" t="s">
        <v>60</v>
      </c>
      <c r="J16" s="4" t="s">
        <v>61</v>
      </c>
      <c r="K16" s="4" t="s">
        <v>62</v>
      </c>
      <c r="L16" s="4" t="s">
        <v>63</v>
      </c>
    </row>
    <row r="17" customFormat="false" ht="15" hidden="false" customHeight="false" outlineLevel="0" collapsed="false">
      <c r="A17" s="23" t="n">
        <v>1</v>
      </c>
      <c r="B17" s="23" t="s">
        <v>33</v>
      </c>
      <c r="C17" s="23" t="s">
        <v>18</v>
      </c>
      <c r="D17" s="24" t="n">
        <v>95762.44</v>
      </c>
      <c r="E17" s="24" t="n">
        <v>0</v>
      </c>
      <c r="F17" s="24" t="n">
        <v>95762.44</v>
      </c>
      <c r="G17" s="24" t="n">
        <v>95762.44</v>
      </c>
      <c r="H17" s="24" t="n">
        <v>0</v>
      </c>
      <c r="I17" s="24" t="n">
        <f aca="false">G17+H17</f>
        <v>95762.44</v>
      </c>
      <c r="J17" s="24" t="n">
        <f aca="false">D17-I17</f>
        <v>0</v>
      </c>
      <c r="K17" s="25" t="s">
        <v>68</v>
      </c>
      <c r="L17" s="25" t="s">
        <v>69</v>
      </c>
    </row>
    <row r="18" customFormat="false" ht="15" hidden="false" customHeight="false" outlineLevel="0" collapsed="false">
      <c r="A18" s="23" t="n">
        <v>2</v>
      </c>
      <c r="B18" s="23" t="s">
        <v>26</v>
      </c>
      <c r="C18" s="23" t="s">
        <v>18</v>
      </c>
      <c r="D18" s="24" t="n">
        <v>287646.29</v>
      </c>
      <c r="E18" s="24" t="n">
        <v>0</v>
      </c>
      <c r="F18" s="24" t="n">
        <v>0</v>
      </c>
      <c r="G18" s="24" t="n">
        <v>23970.53</v>
      </c>
      <c r="H18" s="24" t="n">
        <v>10459.87</v>
      </c>
      <c r="I18" s="24" t="n">
        <f aca="false">G18+H18</f>
        <v>34430.4</v>
      </c>
      <c r="J18" s="24" t="n">
        <f aca="false">D18-I18</f>
        <v>253215.89</v>
      </c>
      <c r="K18" s="25" t="s">
        <v>64</v>
      </c>
      <c r="L18" s="25" t="s">
        <v>65</v>
      </c>
    </row>
    <row r="19" customFormat="false" ht="15" hidden="false" customHeight="false" outlineLevel="0" collapsed="false">
      <c r="A19" s="23" t="n">
        <v>3</v>
      </c>
      <c r="B19" s="23" t="s">
        <v>34</v>
      </c>
      <c r="C19" s="23" t="s">
        <v>18</v>
      </c>
      <c r="D19" s="24" t="n">
        <v>10435.08</v>
      </c>
      <c r="E19" s="24" t="n">
        <v>0</v>
      </c>
      <c r="F19" s="24" t="n">
        <v>10435.08</v>
      </c>
      <c r="G19" s="24" t="n">
        <v>10435.08</v>
      </c>
      <c r="H19" s="24" t="n">
        <v>0</v>
      </c>
      <c r="I19" s="24" t="n">
        <f aca="false">G19+H19</f>
        <v>10435.08</v>
      </c>
      <c r="J19" s="24" t="n">
        <f aca="false">D19-I19</f>
        <v>0</v>
      </c>
      <c r="K19" s="25" t="s">
        <v>68</v>
      </c>
      <c r="L19" s="25" t="s">
        <v>69</v>
      </c>
    </row>
    <row r="20" customFormat="false" ht="15" hidden="false" customHeight="false" outlineLevel="0" collapsed="false">
      <c r="A20" s="23" t="n">
        <v>4</v>
      </c>
      <c r="B20" s="23" t="s">
        <v>26</v>
      </c>
      <c r="C20" s="23" t="s">
        <v>18</v>
      </c>
      <c r="D20" s="24" t="n">
        <v>31344.36</v>
      </c>
      <c r="E20" s="24" t="n">
        <v>0</v>
      </c>
      <c r="F20" s="24" t="n">
        <v>0</v>
      </c>
      <c r="G20" s="24" t="n">
        <v>2612.02</v>
      </c>
      <c r="H20" s="24" t="n">
        <v>1139.79</v>
      </c>
      <c r="I20" s="24" t="n">
        <f aca="false">G20+H20</f>
        <v>3751.81</v>
      </c>
      <c r="J20" s="24" t="n">
        <f aca="false">D20-I20</f>
        <v>27592.55</v>
      </c>
      <c r="K20" s="25" t="s">
        <v>64</v>
      </c>
      <c r="L20" s="25" t="s">
        <v>65</v>
      </c>
    </row>
    <row r="21" customFormat="false" ht="15" hidden="false" customHeight="false" outlineLevel="0" collapsed="false">
      <c r="A21" s="23" t="n">
        <v>5</v>
      </c>
      <c r="B21" s="23" t="s">
        <v>35</v>
      </c>
      <c r="C21" s="23" t="s">
        <v>18</v>
      </c>
      <c r="D21" s="24" t="n">
        <v>19565.8</v>
      </c>
      <c r="E21" s="24" t="n">
        <v>0</v>
      </c>
      <c r="F21" s="24" t="n">
        <v>19565.8</v>
      </c>
      <c r="G21" s="24" t="n">
        <v>19565.8</v>
      </c>
      <c r="H21" s="24" t="n">
        <v>0</v>
      </c>
      <c r="I21" s="24" t="n">
        <f aca="false">G21+H21</f>
        <v>19565.8</v>
      </c>
      <c r="J21" s="24" t="n">
        <f aca="false">D21-I21</f>
        <v>0</v>
      </c>
      <c r="K21" s="25" t="s">
        <v>68</v>
      </c>
      <c r="L21" s="25" t="s">
        <v>69</v>
      </c>
    </row>
    <row r="22" customFormat="false" ht="15" hidden="false" customHeight="false" outlineLevel="0" collapsed="false">
      <c r="A22" s="23" t="n">
        <v>6</v>
      </c>
      <c r="B22" s="23" t="s">
        <v>32</v>
      </c>
      <c r="C22" s="23" t="s">
        <v>18</v>
      </c>
      <c r="D22" s="24" t="n">
        <v>58770.74</v>
      </c>
      <c r="E22" s="24" t="n">
        <v>0</v>
      </c>
      <c r="F22" s="24" t="n">
        <v>0</v>
      </c>
      <c r="G22" s="24" t="n">
        <v>4897.57</v>
      </c>
      <c r="H22" s="24" t="n">
        <v>2137.12</v>
      </c>
      <c r="I22" s="24" t="n">
        <f aca="false">G22+H22</f>
        <v>7034.69</v>
      </c>
      <c r="J22" s="24" t="n">
        <f aca="false">D22-I22</f>
        <v>51736.05</v>
      </c>
      <c r="K22" s="25" t="s">
        <v>64</v>
      </c>
      <c r="L22" s="25" t="s">
        <v>65</v>
      </c>
    </row>
    <row r="23" customFormat="false" ht="15" hidden="false" customHeight="false" outlineLevel="0" collapsed="false">
      <c r="A23" s="26"/>
      <c r="B23" s="27" t="s">
        <v>22</v>
      </c>
      <c r="C23" s="26"/>
      <c r="D23" s="28" t="n">
        <f aca="false">SUM(D17:D22)</f>
        <v>503524.71</v>
      </c>
      <c r="E23" s="28" t="n">
        <f aca="false">SUM(E17:E22)</f>
        <v>0</v>
      </c>
      <c r="F23" s="28" t="n">
        <f aca="false">SUM(F17:F22)</f>
        <v>125763.32</v>
      </c>
      <c r="G23" s="28" t="n">
        <f aca="false">SUM(G17:G22)</f>
        <v>157243.44</v>
      </c>
      <c r="H23" s="28" t="n">
        <f aca="false">SUM(H17:H22)</f>
        <v>13736.78</v>
      </c>
      <c r="I23" s="28" t="n">
        <f aca="false">SUM(I17:I22)</f>
        <v>170980.22</v>
      </c>
      <c r="J23" s="28" t="n">
        <f aca="false">SUM(J17:J22)</f>
        <v>332544.49</v>
      </c>
      <c r="K23" s="26"/>
      <c r="L23" s="26"/>
    </row>
    <row r="25" customFormat="false" ht="15" hidden="false" customHeight="false" outlineLevel="0" collapsed="false">
      <c r="B25" s="18" t="s">
        <v>72</v>
      </c>
    </row>
    <row r="26" customFormat="false" ht="15" hidden="false" customHeight="false" outlineLevel="0" collapsed="false">
      <c r="B26" s="5" t="s">
        <v>73</v>
      </c>
      <c r="D26" s="6" t="n">
        <f aca="false">I13</f>
        <v>166008.92</v>
      </c>
    </row>
    <row r="27" customFormat="false" ht="15" hidden="false" customHeight="false" outlineLevel="0" collapsed="false">
      <c r="B27" s="5" t="s">
        <v>74</v>
      </c>
      <c r="D27" s="6" t="n">
        <f aca="false">I23</f>
        <v>170980.22</v>
      </c>
    </row>
    <row r="28" customFormat="false" ht="15" hidden="false" customHeight="false" outlineLevel="0" collapsed="false">
      <c r="B28" s="11" t="s">
        <v>72</v>
      </c>
      <c r="D28" s="29" t="n">
        <f aca="false">D26-D27</f>
        <v>-4971.30000000002</v>
      </c>
    </row>
    <row r="30" customFormat="false" ht="15" hidden="false" customHeight="false" outlineLevel="0" collapsed="false">
      <c r="A30" s="10" t="s">
        <v>75</v>
      </c>
    </row>
    <row r="31" customFormat="false" ht="15" hidden="false" customHeight="false" outlineLevel="0" collapsed="false">
      <c r="A31" s="21" t="s">
        <v>76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52</v>
      </c>
      <c r="B32" s="4" t="s">
        <v>53</v>
      </c>
      <c r="C32" s="4" t="s">
        <v>54</v>
      </c>
      <c r="D32" s="4" t="s">
        <v>55</v>
      </c>
      <c r="E32" s="4" t="s">
        <v>56</v>
      </c>
      <c r="F32" s="4" t="s">
        <v>57</v>
      </c>
      <c r="G32" s="4" t="s">
        <v>77</v>
      </c>
      <c r="H32" s="4" t="s">
        <v>78</v>
      </c>
      <c r="I32" s="4" t="s">
        <v>60</v>
      </c>
      <c r="J32" s="4" t="s">
        <v>61</v>
      </c>
      <c r="K32" s="4" t="s">
        <v>62</v>
      </c>
      <c r="L32" s="4" t="s">
        <v>63</v>
      </c>
    </row>
    <row r="33" customFormat="false" ht="15" hidden="false" customHeight="false" outlineLevel="0" collapsed="false">
      <c r="A33" s="23" t="n">
        <v>1</v>
      </c>
      <c r="B33" s="23" t="s">
        <v>19</v>
      </c>
      <c r="C33" s="23" t="s">
        <v>18</v>
      </c>
      <c r="D33" s="24" t="n">
        <v>383408.73</v>
      </c>
      <c r="E33" s="24" t="n">
        <v>0</v>
      </c>
      <c r="F33" s="24" t="n">
        <v>0</v>
      </c>
      <c r="G33" s="24" t="n">
        <v>31950.77</v>
      </c>
      <c r="H33" s="24" t="n">
        <v>13942.17</v>
      </c>
      <c r="I33" s="24" t="n">
        <f aca="false">G33+H33</f>
        <v>45892.94</v>
      </c>
      <c r="J33" s="24" t="n">
        <f aca="false">D33-I33</f>
        <v>337515.79</v>
      </c>
      <c r="K33" s="25" t="s">
        <v>64</v>
      </c>
      <c r="L33" s="25" t="s">
        <v>65</v>
      </c>
    </row>
    <row r="34" customFormat="false" ht="15" hidden="false" customHeight="false" outlineLevel="0" collapsed="false">
      <c r="A34" s="23" t="n">
        <v>2</v>
      </c>
      <c r="B34" s="23" t="s">
        <v>20</v>
      </c>
      <c r="C34" s="23" t="s">
        <v>18</v>
      </c>
      <c r="D34" s="24" t="n">
        <v>41779.44</v>
      </c>
      <c r="E34" s="24" t="n">
        <v>0</v>
      </c>
      <c r="F34" s="24" t="n">
        <v>41779.44</v>
      </c>
      <c r="G34" s="24" t="n">
        <v>41779.44</v>
      </c>
      <c r="H34" s="24" t="n">
        <v>0</v>
      </c>
      <c r="I34" s="24" t="n">
        <f aca="false">G34+H34</f>
        <v>41779.44</v>
      </c>
      <c r="J34" s="24" t="n">
        <f aca="false">D34-I34</f>
        <v>0</v>
      </c>
      <c r="K34" s="25" t="s">
        <v>66</v>
      </c>
      <c r="L34" s="25" t="s">
        <v>67</v>
      </c>
    </row>
    <row r="35" customFormat="false" ht="15" hidden="false" customHeight="false" outlineLevel="0" collapsed="false">
      <c r="A35" s="23" t="n">
        <v>3</v>
      </c>
      <c r="B35" s="23" t="s">
        <v>21</v>
      </c>
      <c r="C35" s="23" t="s">
        <v>18</v>
      </c>
      <c r="D35" s="24" t="n">
        <v>78336.54</v>
      </c>
      <c r="E35" s="24" t="n">
        <v>0</v>
      </c>
      <c r="F35" s="24" t="n">
        <v>78336.54</v>
      </c>
      <c r="G35" s="24" t="n">
        <v>78336.54</v>
      </c>
      <c r="H35" s="24" t="n">
        <v>0</v>
      </c>
      <c r="I35" s="24" t="n">
        <f aca="false">G35+H35</f>
        <v>78336.54</v>
      </c>
      <c r="J35" s="24" t="n">
        <f aca="false">D35-I35</f>
        <v>0</v>
      </c>
      <c r="K35" s="25" t="s">
        <v>68</v>
      </c>
      <c r="L35" s="25" t="s">
        <v>69</v>
      </c>
    </row>
    <row r="36" customFormat="false" ht="15" hidden="false" customHeight="false" outlineLevel="0" collapsed="false">
      <c r="A36" s="26"/>
      <c r="B36" s="27" t="s">
        <v>22</v>
      </c>
      <c r="C36" s="26"/>
      <c r="D36" s="28" t="n">
        <f aca="false">SUM(D33:D35)</f>
        <v>503524.71</v>
      </c>
      <c r="E36" s="28" t="n">
        <f aca="false">SUM(E33:E35)</f>
        <v>0</v>
      </c>
      <c r="F36" s="28" t="n">
        <f aca="false">SUM(F33:F35)</f>
        <v>120115.98</v>
      </c>
      <c r="G36" s="28" t="n">
        <f aca="false">SUM(G33:G35)</f>
        <v>152066.75</v>
      </c>
      <c r="H36" s="28" t="n">
        <f aca="false">SUM(H33:H35)</f>
        <v>13942.17</v>
      </c>
      <c r="I36" s="28" t="n">
        <f aca="false">SUM(I33:I35)</f>
        <v>166008.92</v>
      </c>
      <c r="J36" s="28" t="n">
        <f aca="false">SUM(J33:J35)</f>
        <v>337515.79</v>
      </c>
      <c r="K36" s="26"/>
      <c r="L36" s="26"/>
    </row>
    <row r="38" customFormat="false" ht="15" hidden="false" customHeight="false" outlineLevel="0" collapsed="false">
      <c r="A38" s="21" t="s">
        <v>79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52</v>
      </c>
      <c r="B39" s="4" t="s">
        <v>53</v>
      </c>
      <c r="C39" s="4" t="s">
        <v>54</v>
      </c>
      <c r="D39" s="4" t="s">
        <v>55</v>
      </c>
      <c r="E39" s="4" t="s">
        <v>56</v>
      </c>
      <c r="F39" s="4" t="s">
        <v>57</v>
      </c>
      <c r="G39" s="4" t="s">
        <v>77</v>
      </c>
      <c r="H39" s="4" t="s">
        <v>78</v>
      </c>
      <c r="I39" s="4" t="s">
        <v>60</v>
      </c>
      <c r="J39" s="4" t="s">
        <v>61</v>
      </c>
      <c r="K39" s="4" t="s">
        <v>62</v>
      </c>
      <c r="L39" s="4" t="s">
        <v>63</v>
      </c>
    </row>
    <row r="40" customFormat="false" ht="15" hidden="false" customHeight="false" outlineLevel="0" collapsed="false">
      <c r="A40" s="23" t="n">
        <v>1</v>
      </c>
      <c r="B40" s="23" t="s">
        <v>33</v>
      </c>
      <c r="C40" s="23" t="s">
        <v>18</v>
      </c>
      <c r="D40" s="24" t="n">
        <v>95762.44</v>
      </c>
      <c r="E40" s="24" t="n">
        <v>0</v>
      </c>
      <c r="F40" s="24" t="n">
        <v>95762.44</v>
      </c>
      <c r="G40" s="24" t="n">
        <v>95762.44</v>
      </c>
      <c r="H40" s="24" t="n">
        <v>0</v>
      </c>
      <c r="I40" s="24" t="n">
        <f aca="false">G40+H40</f>
        <v>95762.44</v>
      </c>
      <c r="J40" s="24" t="n">
        <f aca="false">D40-I40</f>
        <v>0</v>
      </c>
      <c r="K40" s="25" t="s">
        <v>68</v>
      </c>
      <c r="L40" s="25" t="s">
        <v>69</v>
      </c>
    </row>
    <row r="41" customFormat="false" ht="15" hidden="false" customHeight="false" outlineLevel="0" collapsed="false">
      <c r="A41" s="23" t="n">
        <v>2</v>
      </c>
      <c r="B41" s="23" t="s">
        <v>26</v>
      </c>
      <c r="C41" s="23" t="s">
        <v>18</v>
      </c>
      <c r="D41" s="24" t="n">
        <v>287646.29</v>
      </c>
      <c r="E41" s="24" t="n">
        <v>0</v>
      </c>
      <c r="F41" s="24" t="n">
        <v>0</v>
      </c>
      <c r="G41" s="24" t="n">
        <v>23970.53</v>
      </c>
      <c r="H41" s="24" t="n">
        <v>10459.87</v>
      </c>
      <c r="I41" s="24" t="n">
        <f aca="false">G41+H41</f>
        <v>34430.4</v>
      </c>
      <c r="J41" s="24" t="n">
        <f aca="false">D41-I41</f>
        <v>253215.89</v>
      </c>
      <c r="K41" s="25" t="s">
        <v>64</v>
      </c>
      <c r="L41" s="25" t="s">
        <v>65</v>
      </c>
    </row>
    <row r="42" customFormat="false" ht="15" hidden="false" customHeight="false" outlineLevel="0" collapsed="false">
      <c r="A42" s="23" t="n">
        <v>3</v>
      </c>
      <c r="B42" s="23" t="s">
        <v>34</v>
      </c>
      <c r="C42" s="23" t="s">
        <v>18</v>
      </c>
      <c r="D42" s="24" t="n">
        <v>10435.08</v>
      </c>
      <c r="E42" s="24" t="n">
        <v>0</v>
      </c>
      <c r="F42" s="24" t="n">
        <v>10435.08</v>
      </c>
      <c r="G42" s="24" t="n">
        <v>10435.08</v>
      </c>
      <c r="H42" s="24" t="n">
        <v>0</v>
      </c>
      <c r="I42" s="24" t="n">
        <f aca="false">G42+H42</f>
        <v>10435.08</v>
      </c>
      <c r="J42" s="24" t="n">
        <f aca="false">D42-I42</f>
        <v>0</v>
      </c>
      <c r="K42" s="25" t="s">
        <v>68</v>
      </c>
      <c r="L42" s="25" t="s">
        <v>69</v>
      </c>
    </row>
    <row r="43" customFormat="false" ht="15" hidden="false" customHeight="false" outlineLevel="0" collapsed="false">
      <c r="A43" s="23" t="n">
        <v>4</v>
      </c>
      <c r="B43" s="23" t="s">
        <v>26</v>
      </c>
      <c r="C43" s="23" t="s">
        <v>18</v>
      </c>
      <c r="D43" s="24" t="n">
        <v>31344.36</v>
      </c>
      <c r="E43" s="24" t="n">
        <v>0</v>
      </c>
      <c r="F43" s="24" t="n">
        <v>0</v>
      </c>
      <c r="G43" s="24" t="n">
        <v>2612.02</v>
      </c>
      <c r="H43" s="24" t="n">
        <v>1139.79</v>
      </c>
      <c r="I43" s="24" t="n">
        <f aca="false">G43+H43</f>
        <v>3751.81</v>
      </c>
      <c r="J43" s="24" t="n">
        <f aca="false">D43-I43</f>
        <v>27592.55</v>
      </c>
      <c r="K43" s="25" t="s">
        <v>64</v>
      </c>
      <c r="L43" s="25" t="s">
        <v>65</v>
      </c>
    </row>
    <row r="44" customFormat="false" ht="15" hidden="false" customHeight="false" outlineLevel="0" collapsed="false">
      <c r="A44" s="23" t="n">
        <v>5</v>
      </c>
      <c r="B44" s="23" t="s">
        <v>35</v>
      </c>
      <c r="C44" s="23" t="s">
        <v>18</v>
      </c>
      <c r="D44" s="24" t="n">
        <v>19565.8</v>
      </c>
      <c r="E44" s="24" t="n">
        <v>0</v>
      </c>
      <c r="F44" s="24" t="n">
        <v>19565.8</v>
      </c>
      <c r="G44" s="24" t="n">
        <v>19565.8</v>
      </c>
      <c r="H44" s="24" t="n">
        <v>0</v>
      </c>
      <c r="I44" s="24" t="n">
        <f aca="false">G44+H44</f>
        <v>19565.8</v>
      </c>
      <c r="J44" s="24" t="n">
        <f aca="false">D44-I44</f>
        <v>0</v>
      </c>
      <c r="K44" s="25" t="s">
        <v>68</v>
      </c>
      <c r="L44" s="25" t="s">
        <v>69</v>
      </c>
    </row>
    <row r="45" customFormat="false" ht="15" hidden="false" customHeight="false" outlineLevel="0" collapsed="false">
      <c r="A45" s="23" t="n">
        <v>6</v>
      </c>
      <c r="B45" s="23" t="s">
        <v>32</v>
      </c>
      <c r="C45" s="23" t="s">
        <v>18</v>
      </c>
      <c r="D45" s="24" t="n">
        <v>58770.74</v>
      </c>
      <c r="E45" s="24" t="n">
        <v>0</v>
      </c>
      <c r="F45" s="24" t="n">
        <v>0</v>
      </c>
      <c r="G45" s="24" t="n">
        <v>4897.57</v>
      </c>
      <c r="H45" s="24" t="n">
        <v>2137.12</v>
      </c>
      <c r="I45" s="24" t="n">
        <f aca="false">G45+H45</f>
        <v>7034.69</v>
      </c>
      <c r="J45" s="24" t="n">
        <f aca="false">D45-I45</f>
        <v>51736.05</v>
      </c>
      <c r="K45" s="25" t="s">
        <v>64</v>
      </c>
      <c r="L45" s="25" t="s">
        <v>65</v>
      </c>
    </row>
    <row r="46" customFormat="false" ht="15" hidden="false" customHeight="false" outlineLevel="0" collapsed="false">
      <c r="A46" s="26"/>
      <c r="B46" s="27" t="s">
        <v>22</v>
      </c>
      <c r="C46" s="26"/>
      <c r="D46" s="28" t="n">
        <f aca="false">SUM(D40:D45)</f>
        <v>503524.71</v>
      </c>
      <c r="E46" s="28" t="n">
        <f aca="false">SUM(E40:E45)</f>
        <v>0</v>
      </c>
      <c r="F46" s="28" t="n">
        <f aca="false">SUM(F40:F45)</f>
        <v>125763.32</v>
      </c>
      <c r="G46" s="28" t="n">
        <f aca="false">SUM(G40:G45)</f>
        <v>157243.44</v>
      </c>
      <c r="H46" s="28" t="n">
        <f aca="false">SUM(H40:H45)</f>
        <v>13736.78</v>
      </c>
      <c r="I46" s="28" t="n">
        <f aca="false">SUM(I40:I45)</f>
        <v>170980.22</v>
      </c>
      <c r="J46" s="28" t="n">
        <f aca="false">SUM(J40:J45)</f>
        <v>332544.49</v>
      </c>
      <c r="K46" s="26"/>
      <c r="L46" s="26"/>
    </row>
    <row r="48" customFormat="false" ht="15" hidden="false" customHeight="false" outlineLevel="0" collapsed="false">
      <c r="B48" s="18" t="s">
        <v>80</v>
      </c>
    </row>
    <row r="49" customFormat="false" ht="15" hidden="false" customHeight="false" outlineLevel="0" collapsed="false">
      <c r="B49" s="5" t="s">
        <v>73</v>
      </c>
      <c r="D49" s="6" t="n">
        <f aca="false">I36</f>
        <v>166008.92</v>
      </c>
    </row>
    <row r="50" customFormat="false" ht="15" hidden="false" customHeight="false" outlineLevel="0" collapsed="false">
      <c r="B50" s="5" t="s">
        <v>74</v>
      </c>
      <c r="D50" s="6" t="n">
        <f aca="false">I46</f>
        <v>170980.22</v>
      </c>
    </row>
    <row r="51" customFormat="false" ht="15" hidden="false" customHeight="false" outlineLevel="0" collapsed="false">
      <c r="B51" s="11" t="s">
        <v>80</v>
      </c>
      <c r="D51" s="29" t="n">
        <f aca="false">D49-D50</f>
        <v>-4971.30000000002</v>
      </c>
    </row>
    <row r="53" customFormat="false" ht="15" hidden="false" customHeight="false" outlineLevel="0" collapsed="false">
      <c r="A53" s="10" t="s">
        <v>81</v>
      </c>
    </row>
    <row r="54" customFormat="false" ht="15" hidden="false" customHeight="false" outlineLevel="0" collapsed="false">
      <c r="B54" s="11" t="s">
        <v>115</v>
      </c>
      <c r="D54" s="12" t="n">
        <f aca="false">D93</f>
        <v>503524.71</v>
      </c>
    </row>
    <row r="55" customFormat="false" ht="15" hidden="false" customHeight="false" outlineLevel="0" collapsed="false">
      <c r="B55" s="5" t="s">
        <v>116</v>
      </c>
      <c r="D55" s="6" t="n">
        <f aca="false">F93</f>
        <v>125763.32</v>
      </c>
    </row>
    <row r="56" customFormat="false" ht="15" hidden="false" customHeight="false" outlineLevel="0" collapsed="false">
      <c r="B56" s="30" t="s">
        <v>84</v>
      </c>
      <c r="D56" s="31" t="n">
        <f aca="false">F94</f>
        <v>0.249765935022335</v>
      </c>
    </row>
    <row r="57" customFormat="false" ht="15" hidden="false" customHeight="false" outlineLevel="0" collapsed="false">
      <c r="B57" s="5" t="s">
        <v>117</v>
      </c>
      <c r="D57" s="6" t="n">
        <f aca="false">H93</f>
        <v>377761.39</v>
      </c>
    </row>
    <row r="58" customFormat="false" ht="15" hidden="false" customHeight="false" outlineLevel="0" collapsed="false">
      <c r="B58" s="30" t="s">
        <v>84</v>
      </c>
      <c r="D58" s="31" t="n">
        <f aca="false">H94</f>
        <v>0.750234064977665</v>
      </c>
    </row>
    <row r="60" customFormat="false" ht="15" hidden="false" customHeight="false" outlineLevel="0" collapsed="false">
      <c r="A60" s="10" t="s">
        <v>87</v>
      </c>
    </row>
    <row r="61" customFormat="false" ht="15" hidden="false" customHeight="false" outlineLevel="0" collapsed="false">
      <c r="B61" s="4" t="s">
        <v>88</v>
      </c>
      <c r="D61" s="4" t="s">
        <v>55</v>
      </c>
      <c r="F61" s="4" t="s">
        <v>118</v>
      </c>
      <c r="H61" s="4" t="s">
        <v>91</v>
      </c>
    </row>
    <row r="62" customFormat="false" ht="15" hidden="false" customHeight="false" outlineLevel="0" collapsed="false">
      <c r="B62" s="32" t="s">
        <v>119</v>
      </c>
    </row>
    <row r="63" customFormat="false" ht="15" hidden="false" customHeight="false" outlineLevel="0" collapsed="false">
      <c r="B63" s="5" t="s">
        <v>120</v>
      </c>
      <c r="D63" s="33" t="n">
        <f aca="false">SUM(F63:H63)</f>
        <v>26757.81</v>
      </c>
      <c r="F63" s="33" t="n">
        <v>26757.81</v>
      </c>
    </row>
    <row r="64" customFormat="false" ht="15" hidden="false" customHeight="false" outlineLevel="0" collapsed="false">
      <c r="B64" s="5" t="s">
        <v>121</v>
      </c>
      <c r="D64" s="33" t="n">
        <f aca="false">SUM(F64:H64)</f>
        <v>7990.89</v>
      </c>
      <c r="F64" s="33" t="n">
        <v>7990.89</v>
      </c>
    </row>
    <row r="65" customFormat="false" ht="15" hidden="false" customHeight="false" outlineLevel="0" collapsed="false">
      <c r="B65" s="5" t="s">
        <v>122</v>
      </c>
      <c r="D65" s="33" t="n">
        <f aca="false">SUM(F65:H65)</f>
        <v>37800.94</v>
      </c>
      <c r="F65" s="33" t="n">
        <v>37800.94</v>
      </c>
    </row>
    <row r="66" customFormat="false" ht="15" hidden="false" customHeight="false" outlineLevel="0" collapsed="false">
      <c r="B66" s="5" t="s">
        <v>123</v>
      </c>
      <c r="D66" s="33" t="n">
        <f aca="false">SUM(F66:H66)</f>
        <v>2842.52</v>
      </c>
      <c r="F66" s="33" t="n">
        <v>2842.52</v>
      </c>
    </row>
    <row r="67" customFormat="false" ht="15" hidden="false" customHeight="false" outlineLevel="0" collapsed="false">
      <c r="B67" s="5" t="s">
        <v>124</v>
      </c>
      <c r="D67" s="33" t="n">
        <f aca="false">SUM(F67:H67)</f>
        <v>2418.44</v>
      </c>
      <c r="F67" s="33" t="n">
        <v>2418.44</v>
      </c>
    </row>
    <row r="68" customFormat="false" ht="15" hidden="false" customHeight="false" outlineLevel="0" collapsed="false">
      <c r="B68" s="5" t="s">
        <v>125</v>
      </c>
      <c r="D68" s="33" t="n">
        <f aca="false">SUM(F68:H68)</f>
        <v>718.3</v>
      </c>
      <c r="F68" s="33" t="n">
        <v>718.3</v>
      </c>
    </row>
    <row r="69" customFormat="false" ht="15" hidden="false" customHeight="false" outlineLevel="0" collapsed="false">
      <c r="B69" s="5" t="s">
        <v>126</v>
      </c>
      <c r="D69" s="33" t="n">
        <f aca="false">SUM(F69:H69)</f>
        <v>705.03</v>
      </c>
      <c r="F69" s="33" t="n">
        <v>705.03</v>
      </c>
    </row>
    <row r="70" customFormat="false" ht="15" hidden="false" customHeight="false" outlineLevel="0" collapsed="false">
      <c r="B70" s="5" t="s">
        <v>127</v>
      </c>
      <c r="D70" s="33" t="n">
        <f aca="false">SUM(F70:H70)</f>
        <v>12363.8</v>
      </c>
      <c r="F70" s="33" t="n">
        <v>12363.8</v>
      </c>
    </row>
    <row r="71" customFormat="false" ht="15" hidden="false" customHeight="false" outlineLevel="0" collapsed="false">
      <c r="B71" s="5" t="s">
        <v>128</v>
      </c>
      <c r="D71" s="33" t="n">
        <f aca="false">SUM(F71:H71)</f>
        <v>3400.77</v>
      </c>
      <c r="F71" s="33" t="n">
        <v>3400.77</v>
      </c>
    </row>
    <row r="72" customFormat="false" ht="15" hidden="false" customHeight="false" outlineLevel="0" collapsed="false">
      <c r="B72" s="5" t="s">
        <v>129</v>
      </c>
      <c r="D72" s="33" t="n">
        <f aca="false">SUM(F72:H72)</f>
        <v>13431.92</v>
      </c>
      <c r="F72" s="33" t="n">
        <v>13431.92</v>
      </c>
    </row>
    <row r="73" customFormat="false" ht="15" hidden="false" customHeight="false" outlineLevel="0" collapsed="false">
      <c r="B73" s="5" t="s">
        <v>130</v>
      </c>
      <c r="D73" s="33" t="n">
        <f aca="false">SUM(F73:H73)</f>
        <v>1140.5</v>
      </c>
      <c r="F73" s="33" t="n">
        <v>1140.5</v>
      </c>
    </row>
    <row r="74" customFormat="false" ht="15" hidden="false" customHeight="false" outlineLevel="0" collapsed="false">
      <c r="B74" s="5" t="s">
        <v>131</v>
      </c>
      <c r="D74" s="33" t="n">
        <f aca="false">SUM(F74:H74)</f>
        <v>1360.86</v>
      </c>
      <c r="F74" s="33" t="n">
        <v>1360.86</v>
      </c>
    </row>
    <row r="75" customFormat="false" ht="15" hidden="false" customHeight="false" outlineLevel="0" collapsed="false">
      <c r="B75" s="5" t="s">
        <v>132</v>
      </c>
      <c r="D75" s="33" t="n">
        <f aca="false">SUM(F75:H75)</f>
        <v>14831.54</v>
      </c>
      <c r="F75" s="33" t="n">
        <v>14831.54</v>
      </c>
    </row>
    <row r="76" customFormat="false" ht="15" hidden="false" customHeight="false" outlineLevel="0" collapsed="false">
      <c r="B76" s="32" t="s">
        <v>133</v>
      </c>
    </row>
    <row r="77" customFormat="false" ht="15" hidden="false" customHeight="false" outlineLevel="0" collapsed="false">
      <c r="B77" s="5" t="s">
        <v>134</v>
      </c>
      <c r="D77" s="33" t="n">
        <f aca="false">SUM(F77:H77)</f>
        <v>25110.72</v>
      </c>
      <c r="H77" s="33" t="n">
        <v>25110.72</v>
      </c>
    </row>
    <row r="78" customFormat="false" ht="15" hidden="false" customHeight="false" outlineLevel="0" collapsed="false">
      <c r="B78" s="5" t="s">
        <v>135</v>
      </c>
      <c r="D78" s="33" t="n">
        <f aca="false">SUM(F78:H78)</f>
        <v>35390.34</v>
      </c>
      <c r="H78" s="33" t="n">
        <v>35390.34</v>
      </c>
    </row>
    <row r="79" customFormat="false" ht="15" hidden="false" customHeight="false" outlineLevel="0" collapsed="false">
      <c r="B79" s="5" t="s">
        <v>136</v>
      </c>
      <c r="D79" s="33" t="n">
        <f aca="false">SUM(F79:H79)</f>
        <v>29008.33</v>
      </c>
      <c r="H79" s="33" t="n">
        <v>29008.33</v>
      </c>
    </row>
    <row r="80" customFormat="false" ht="15" hidden="false" customHeight="false" outlineLevel="0" collapsed="false">
      <c r="B80" s="5" t="s">
        <v>137</v>
      </c>
      <c r="D80" s="33" t="n">
        <f aca="false">SUM(F80:H80)</f>
        <v>31389.04</v>
      </c>
      <c r="H80" s="33" t="n">
        <v>31389.04</v>
      </c>
    </row>
    <row r="81" customFormat="false" ht="15" hidden="false" customHeight="false" outlineLevel="0" collapsed="false">
      <c r="B81" s="5" t="s">
        <v>138</v>
      </c>
      <c r="D81" s="33" t="n">
        <f aca="false">SUM(F81:H81)</f>
        <v>26496.62</v>
      </c>
      <c r="H81" s="33" t="n">
        <v>26496.62</v>
      </c>
    </row>
    <row r="82" customFormat="false" ht="15" hidden="false" customHeight="false" outlineLevel="0" collapsed="false">
      <c r="B82" s="5" t="s">
        <v>139</v>
      </c>
      <c r="D82" s="33" t="n">
        <f aca="false">SUM(F82:H82)</f>
        <v>12009.05</v>
      </c>
      <c r="H82" s="33" t="n">
        <v>12009.05</v>
      </c>
    </row>
    <row r="83" customFormat="false" ht="15" hidden="false" customHeight="false" outlineLevel="0" collapsed="false">
      <c r="B83" s="5" t="s">
        <v>140</v>
      </c>
      <c r="D83" s="33" t="n">
        <f aca="false">SUM(F83:H83)</f>
        <v>23153.47</v>
      </c>
      <c r="H83" s="33" t="n">
        <v>23153.47</v>
      </c>
    </row>
    <row r="84" customFormat="false" ht="15" hidden="false" customHeight="false" outlineLevel="0" collapsed="false">
      <c r="B84" s="5" t="s">
        <v>141</v>
      </c>
      <c r="D84" s="33" t="n">
        <f aca="false">SUM(F84:H84)</f>
        <v>10659.46</v>
      </c>
      <c r="H84" s="33" t="n">
        <v>10659.46</v>
      </c>
    </row>
    <row r="85" customFormat="false" ht="15" hidden="false" customHeight="false" outlineLevel="0" collapsed="false">
      <c r="B85" s="5" t="s">
        <v>142</v>
      </c>
      <c r="D85" s="33" t="n">
        <f aca="false">SUM(F85:H85)</f>
        <v>16835.06</v>
      </c>
      <c r="H85" s="33" t="n">
        <v>16835.06</v>
      </c>
    </row>
    <row r="86" customFormat="false" ht="15" hidden="false" customHeight="false" outlineLevel="0" collapsed="false">
      <c r="B86" s="5" t="s">
        <v>143</v>
      </c>
      <c r="D86" s="33" t="n">
        <f aca="false">SUM(F86:H86)</f>
        <v>39604.25</v>
      </c>
      <c r="H86" s="33" t="n">
        <v>39604.25</v>
      </c>
    </row>
    <row r="87" customFormat="false" ht="15" hidden="false" customHeight="false" outlineLevel="0" collapsed="false">
      <c r="B87" s="5" t="s">
        <v>144</v>
      </c>
      <c r="D87" s="33" t="n">
        <f aca="false">SUM(F87:H87)</f>
        <v>16001</v>
      </c>
      <c r="H87" s="33" t="n">
        <v>16001</v>
      </c>
    </row>
    <row r="88" customFormat="false" ht="15" hidden="false" customHeight="false" outlineLevel="0" collapsed="false">
      <c r="B88" s="5" t="s">
        <v>145</v>
      </c>
      <c r="D88" s="33" t="n">
        <f aca="false">SUM(F88:H88)</f>
        <v>1863.69</v>
      </c>
      <c r="H88" s="33" t="n">
        <v>1863.69</v>
      </c>
    </row>
    <row r="89" customFormat="false" ht="15" hidden="false" customHeight="false" outlineLevel="0" collapsed="false">
      <c r="B89" s="5" t="s">
        <v>146</v>
      </c>
      <c r="D89" s="33" t="n">
        <f aca="false">SUM(F89:H89)</f>
        <v>82713.76</v>
      </c>
      <c r="H89" s="33" t="n">
        <v>82713.76</v>
      </c>
    </row>
    <row r="90" customFormat="false" ht="15" hidden="false" customHeight="false" outlineLevel="0" collapsed="false">
      <c r="B90" s="5" t="s">
        <v>147</v>
      </c>
      <c r="D90" s="33" t="n">
        <f aca="false">SUM(F90:H90)</f>
        <v>10815.9</v>
      </c>
      <c r="H90" s="33" t="n">
        <v>10815.9</v>
      </c>
    </row>
    <row r="91" customFormat="false" ht="15" hidden="false" customHeight="false" outlineLevel="0" collapsed="false">
      <c r="B91" s="5" t="s">
        <v>148</v>
      </c>
      <c r="D91" s="33" t="n">
        <f aca="false">SUM(F91:H91)</f>
        <v>9740.22</v>
      </c>
      <c r="H91" s="33" t="n">
        <v>9740.22</v>
      </c>
    </row>
    <row r="92" customFormat="false" ht="15" hidden="false" customHeight="false" outlineLevel="0" collapsed="false">
      <c r="B92" s="5" t="s">
        <v>149</v>
      </c>
      <c r="D92" s="33" t="n">
        <f aca="false">SUM(F92:H92)</f>
        <v>6970.48</v>
      </c>
      <c r="H92" s="33" t="n">
        <v>6970.48</v>
      </c>
    </row>
    <row r="93" customFormat="false" ht="15" hidden="false" customHeight="false" outlineLevel="0" collapsed="false">
      <c r="B93" s="11" t="s">
        <v>115</v>
      </c>
      <c r="D93" s="34" t="n">
        <f aca="false">SUM(D62:D92)</f>
        <v>503524.71</v>
      </c>
      <c r="F93" s="34" t="n">
        <f aca="false">SUM(F62:F92)</f>
        <v>125763.32</v>
      </c>
      <c r="H93" s="34" t="n">
        <f aca="false">SUM(H62:H92)</f>
        <v>377761.39</v>
      </c>
    </row>
    <row r="94" customFormat="false" ht="15" hidden="false" customHeight="false" outlineLevel="0" collapsed="false">
      <c r="B94" s="30" t="s">
        <v>84</v>
      </c>
      <c r="F94" s="31" t="n">
        <f aca="false">F93/D93</f>
        <v>0.249765935022335</v>
      </c>
      <c r="H94" s="31" t="n">
        <f aca="false">H93/D93</f>
        <v>0.750234064977665</v>
      </c>
    </row>
    <row r="96" customFormat="false" ht="15" hidden="false" customHeight="false" outlineLevel="0" collapsed="false">
      <c r="A96" s="10" t="s">
        <v>110</v>
      </c>
    </row>
    <row r="97" customFormat="false" ht="15" hidden="false" customHeight="false" outlineLevel="0" collapsed="false">
      <c r="B97" s="4" t="s">
        <v>111</v>
      </c>
      <c r="D97" s="4" t="s">
        <v>55</v>
      </c>
      <c r="F97" s="4" t="s">
        <v>118</v>
      </c>
      <c r="H97" s="4" t="s">
        <v>91</v>
      </c>
    </row>
    <row r="98" customFormat="false" ht="15" hidden="false" customHeight="false" outlineLevel="0" collapsed="false">
      <c r="B98" s="5" t="str">
        <f aca="false">'Bldg 7'!B17</f>
        <v>2-Building-5yr</v>
      </c>
      <c r="D98" s="33" t="n">
        <f aca="false">SUM(F98:H98)</f>
        <v>95762.44</v>
      </c>
      <c r="F98" s="33" t="n">
        <f aca="false">'Bldg 7'!D17</f>
        <v>95762.44</v>
      </c>
    </row>
    <row r="99" customFormat="false" ht="15" hidden="false" customHeight="false" outlineLevel="0" collapsed="false">
      <c r="B99" s="5" t="str">
        <f aca="false">'Bldg 7'!B18</f>
        <v>2-Building-27.5yr</v>
      </c>
      <c r="D99" s="33" t="n">
        <f aca="false">SUM(F99:H99)</f>
        <v>287646.29</v>
      </c>
      <c r="H99" s="33" t="n">
        <f aca="false">'Bldg 7'!D18</f>
        <v>287646.29</v>
      </c>
    </row>
    <row r="100" customFormat="false" ht="15" hidden="false" customHeight="false" outlineLevel="0" collapsed="false">
      <c r="B100" s="5" t="str">
        <f aca="false">'Bldg 7'!B19</f>
        <v>3-Land Improvements-5yr</v>
      </c>
      <c r="D100" s="33" t="n">
        <f aca="false">SUM(F100:H100)</f>
        <v>10435.08</v>
      </c>
      <c r="F100" s="33" t="n">
        <f aca="false">'Bldg 7'!D19</f>
        <v>10435.08</v>
      </c>
    </row>
    <row r="101" customFormat="false" ht="15" hidden="false" customHeight="false" outlineLevel="0" collapsed="false">
      <c r="B101" s="5" t="str">
        <f aca="false">'Bldg 7'!B20</f>
        <v>2-Building-27.5yr</v>
      </c>
      <c r="D101" s="33" t="n">
        <f aca="false">SUM(F101:H101)</f>
        <v>31344.36</v>
      </c>
      <c r="H101" s="33" t="n">
        <f aca="false">'Bldg 7'!D20</f>
        <v>31344.36</v>
      </c>
    </row>
    <row r="102" customFormat="false" ht="15" hidden="false" customHeight="false" outlineLevel="0" collapsed="false">
      <c r="B102" s="5" t="str">
        <f aca="false">'Bldg 7'!B21</f>
        <v>4-Equipment-5yr</v>
      </c>
      <c r="D102" s="33" t="n">
        <f aca="false">SUM(F102:H102)</f>
        <v>19565.8</v>
      </c>
      <c r="F102" s="33" t="n">
        <f aca="false">'Bldg 7'!D21</f>
        <v>19565.8</v>
      </c>
    </row>
    <row r="103" customFormat="false" ht="15" hidden="false" customHeight="false" outlineLevel="0" collapsed="false">
      <c r="B103" s="5" t="str">
        <f aca="false">'Bldg 7'!B22</f>
        <v>4-Equipment-27.5yr</v>
      </c>
      <c r="D103" s="33" t="n">
        <f aca="false">SUM(F103:H103)</f>
        <v>58770.74</v>
      </c>
      <c r="H103" s="33" t="n">
        <f aca="false">'Bldg 7'!D22</f>
        <v>58770.74</v>
      </c>
    </row>
    <row r="104" customFormat="false" ht="15" hidden="false" customHeight="false" outlineLevel="0" collapsed="false">
      <c r="B104" s="11" t="s">
        <v>112</v>
      </c>
      <c r="D104" s="34" t="n">
        <f aca="false">SUM(D98:D103)</f>
        <v>503524.71</v>
      </c>
      <c r="F104" s="34" t="n">
        <f aca="false">SUM(F98:F103)</f>
        <v>125763.32</v>
      </c>
      <c r="H104" s="34" t="n">
        <f aca="false">SUM(H98:H103)</f>
        <v>377761.39</v>
      </c>
    </row>
    <row r="105" customFormat="false" ht="15" hidden="false" customHeight="false" outlineLevel="0" collapsed="false">
      <c r="B105" s="16" t="s">
        <v>113</v>
      </c>
      <c r="D105" s="17" t="n">
        <f aca="false">D104-D93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157</v>
      </c>
    </row>
    <row r="5" customFormat="false" ht="15" hidden="false" customHeight="false" outlineLevel="0" collapsed="false">
      <c r="A5" s="16" t="s">
        <v>49</v>
      </c>
    </row>
    <row r="7" customFormat="false" ht="15" hidden="false" customHeight="false" outlineLevel="0" collapsed="false">
      <c r="A7" s="10" t="s">
        <v>50</v>
      </c>
    </row>
    <row r="8" customFormat="false" ht="15" hidden="false" customHeight="false" outlineLevel="0" collapsed="false">
      <c r="A8" s="21" t="s">
        <v>51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18</v>
      </c>
      <c r="D10" s="24" t="n">
        <v>302676.39</v>
      </c>
      <c r="E10" s="24" t="n">
        <v>0</v>
      </c>
      <c r="F10" s="24" t="n">
        <v>0</v>
      </c>
      <c r="G10" s="24" t="n">
        <v>25223.07</v>
      </c>
      <c r="H10" s="24" t="n">
        <v>11006.44</v>
      </c>
      <c r="I10" s="24" t="n">
        <f aca="false">G10+H10</f>
        <v>36229.51</v>
      </c>
      <c r="J10" s="24" t="n">
        <f aca="false">D10-I10</f>
        <v>266446.88</v>
      </c>
      <c r="K10" s="25" t="s">
        <v>64</v>
      </c>
      <c r="L10" s="25" t="s">
        <v>65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18</v>
      </c>
      <c r="D11" s="24" t="n">
        <v>32982.17</v>
      </c>
      <c r="E11" s="24" t="n">
        <v>0</v>
      </c>
      <c r="F11" s="24" t="n">
        <v>32982.17</v>
      </c>
      <c r="G11" s="24" t="n">
        <v>32982.17</v>
      </c>
      <c r="H11" s="24" t="n">
        <v>0</v>
      </c>
      <c r="I11" s="24" t="n">
        <f aca="false">G11+H11</f>
        <v>32982.17</v>
      </c>
      <c r="J11" s="24" t="n">
        <f aca="false">D11-I11</f>
        <v>0</v>
      </c>
      <c r="K11" s="25" t="s">
        <v>66</v>
      </c>
      <c r="L11" s="25" t="s">
        <v>67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18</v>
      </c>
      <c r="D12" s="24" t="n">
        <v>61841.63</v>
      </c>
      <c r="E12" s="24" t="n">
        <v>0</v>
      </c>
      <c r="F12" s="24" t="n">
        <v>61841.63</v>
      </c>
      <c r="G12" s="24" t="n">
        <v>61841.63</v>
      </c>
      <c r="H12" s="24" t="n">
        <v>0</v>
      </c>
      <c r="I12" s="24" t="n">
        <f aca="false">G12+H12</f>
        <v>61841.63</v>
      </c>
      <c r="J12" s="24" t="n">
        <f aca="false">D12-I12</f>
        <v>0</v>
      </c>
      <c r="K12" s="25" t="s">
        <v>68</v>
      </c>
      <c r="L12" s="25" t="s">
        <v>69</v>
      </c>
    </row>
    <row r="13" customFormat="false" ht="15" hidden="false" customHeight="false" outlineLevel="0" collapsed="false">
      <c r="A13" s="26"/>
      <c r="B13" s="27" t="s">
        <v>22</v>
      </c>
      <c r="C13" s="26"/>
      <c r="D13" s="28" t="n">
        <f aca="false">SUM(D10:D12)</f>
        <v>397500.19</v>
      </c>
      <c r="E13" s="28" t="n">
        <f aca="false">SUM(E10:E12)</f>
        <v>0</v>
      </c>
      <c r="F13" s="28" t="n">
        <f aca="false">SUM(F10:F12)</f>
        <v>94823.8</v>
      </c>
      <c r="G13" s="28" t="n">
        <f aca="false">SUM(G10:G12)</f>
        <v>120046.87</v>
      </c>
      <c r="H13" s="28" t="n">
        <f aca="false">SUM(H10:H12)</f>
        <v>11006.44</v>
      </c>
      <c r="I13" s="28" t="n">
        <f aca="false">SUM(I10:I12)</f>
        <v>131053.31</v>
      </c>
      <c r="J13" s="28" t="n">
        <f aca="false">SUM(J10:J12)</f>
        <v>266446.88</v>
      </c>
      <c r="K13" s="26"/>
      <c r="L13" s="26"/>
    </row>
    <row r="15" customFormat="false" ht="15" hidden="false" customHeight="false" outlineLevel="0" collapsed="false">
      <c r="A15" s="21" t="s">
        <v>70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52</v>
      </c>
      <c r="B16" s="4" t="s">
        <v>53</v>
      </c>
      <c r="C16" s="4" t="s">
        <v>54</v>
      </c>
      <c r="D16" s="4" t="s">
        <v>55</v>
      </c>
      <c r="E16" s="4" t="s">
        <v>56</v>
      </c>
      <c r="F16" s="4" t="s">
        <v>57</v>
      </c>
      <c r="G16" s="4" t="s">
        <v>58</v>
      </c>
      <c r="H16" s="4" t="s">
        <v>59</v>
      </c>
      <c r="I16" s="4" t="s">
        <v>60</v>
      </c>
      <c r="J16" s="4" t="s">
        <v>61</v>
      </c>
      <c r="K16" s="4" t="s">
        <v>62</v>
      </c>
      <c r="L16" s="4" t="s">
        <v>63</v>
      </c>
    </row>
    <row r="17" customFormat="false" ht="15" hidden="false" customHeight="false" outlineLevel="0" collapsed="false">
      <c r="A17" s="23" t="n">
        <v>1</v>
      </c>
      <c r="B17" s="23" t="s">
        <v>33</v>
      </c>
      <c r="C17" s="23" t="s">
        <v>18</v>
      </c>
      <c r="D17" s="24" t="n">
        <v>83590.83</v>
      </c>
      <c r="E17" s="24" t="n">
        <v>0</v>
      </c>
      <c r="F17" s="24" t="n">
        <v>83590.83</v>
      </c>
      <c r="G17" s="24" t="n">
        <v>83590.83</v>
      </c>
      <c r="H17" s="24" t="n">
        <v>0</v>
      </c>
      <c r="I17" s="24" t="n">
        <f aca="false">G17+H17</f>
        <v>83590.83</v>
      </c>
      <c r="J17" s="24" t="n">
        <f aca="false">D17-I17</f>
        <v>0</v>
      </c>
      <c r="K17" s="25" t="s">
        <v>68</v>
      </c>
      <c r="L17" s="25" t="s">
        <v>69</v>
      </c>
    </row>
    <row r="18" customFormat="false" ht="15" hidden="false" customHeight="false" outlineLevel="0" collapsed="false">
      <c r="A18" s="23" t="n">
        <v>2</v>
      </c>
      <c r="B18" s="23" t="s">
        <v>26</v>
      </c>
      <c r="C18" s="23" t="s">
        <v>18</v>
      </c>
      <c r="D18" s="24" t="n">
        <v>219085.56</v>
      </c>
      <c r="E18" s="24" t="n">
        <v>0</v>
      </c>
      <c r="F18" s="24" t="n">
        <v>0</v>
      </c>
      <c r="G18" s="24" t="n">
        <v>18257.13</v>
      </c>
      <c r="H18" s="24" t="n">
        <v>7966.75</v>
      </c>
      <c r="I18" s="24" t="n">
        <f aca="false">G18+H18</f>
        <v>26223.88</v>
      </c>
      <c r="J18" s="24" t="n">
        <f aca="false">D18-I18</f>
        <v>192861.68</v>
      </c>
      <c r="K18" s="25" t="s">
        <v>64</v>
      </c>
      <c r="L18" s="25" t="s">
        <v>65</v>
      </c>
    </row>
    <row r="19" customFormat="false" ht="15" hidden="false" customHeight="false" outlineLevel="0" collapsed="false">
      <c r="A19" s="23" t="n">
        <v>3</v>
      </c>
      <c r="B19" s="23" t="s">
        <v>34</v>
      </c>
      <c r="C19" s="23" t="s">
        <v>18</v>
      </c>
      <c r="D19" s="24" t="n">
        <v>9108.76</v>
      </c>
      <c r="E19" s="24" t="n">
        <v>0</v>
      </c>
      <c r="F19" s="24" t="n">
        <v>9108.76</v>
      </c>
      <c r="G19" s="24" t="n">
        <v>9108.76</v>
      </c>
      <c r="H19" s="24" t="n">
        <v>0</v>
      </c>
      <c r="I19" s="24" t="n">
        <f aca="false">G19+H19</f>
        <v>9108.76</v>
      </c>
      <c r="J19" s="24" t="n">
        <f aca="false">D19-I19</f>
        <v>0</v>
      </c>
      <c r="K19" s="25" t="s">
        <v>68</v>
      </c>
      <c r="L19" s="25" t="s">
        <v>69</v>
      </c>
    </row>
    <row r="20" customFormat="false" ht="15" hidden="false" customHeight="false" outlineLevel="0" collapsed="false">
      <c r="A20" s="23" t="n">
        <v>4</v>
      </c>
      <c r="B20" s="23" t="s">
        <v>26</v>
      </c>
      <c r="C20" s="23" t="s">
        <v>18</v>
      </c>
      <c r="D20" s="24" t="n">
        <v>23873.41</v>
      </c>
      <c r="E20" s="24" t="n">
        <v>0</v>
      </c>
      <c r="F20" s="24" t="n">
        <v>0</v>
      </c>
      <c r="G20" s="24" t="n">
        <v>1989.44</v>
      </c>
      <c r="H20" s="24" t="n">
        <v>868.12</v>
      </c>
      <c r="I20" s="24" t="n">
        <f aca="false">G20+H20</f>
        <v>2857.56</v>
      </c>
      <c r="J20" s="24" t="n">
        <f aca="false">D20-I20</f>
        <v>21015.85</v>
      </c>
      <c r="K20" s="25" t="s">
        <v>64</v>
      </c>
      <c r="L20" s="25" t="s">
        <v>65</v>
      </c>
    </row>
    <row r="21" customFormat="false" ht="15" hidden="false" customHeight="false" outlineLevel="0" collapsed="false">
      <c r="A21" s="23" t="n">
        <v>5</v>
      </c>
      <c r="B21" s="23" t="s">
        <v>35</v>
      </c>
      <c r="C21" s="23" t="s">
        <v>18</v>
      </c>
      <c r="D21" s="24" t="n">
        <v>17078.94</v>
      </c>
      <c r="E21" s="24" t="n">
        <v>0</v>
      </c>
      <c r="F21" s="24" t="n">
        <v>17078.94</v>
      </c>
      <c r="G21" s="24" t="n">
        <v>17078.94</v>
      </c>
      <c r="H21" s="24" t="n">
        <v>0</v>
      </c>
      <c r="I21" s="24" t="n">
        <f aca="false">G21+H21</f>
        <v>17078.94</v>
      </c>
      <c r="J21" s="24" t="n">
        <f aca="false">D21-I21</f>
        <v>0</v>
      </c>
      <c r="K21" s="25" t="s">
        <v>68</v>
      </c>
      <c r="L21" s="25" t="s">
        <v>69</v>
      </c>
    </row>
    <row r="22" customFormat="false" ht="15" hidden="false" customHeight="false" outlineLevel="0" collapsed="false">
      <c r="A22" s="23" t="n">
        <v>6</v>
      </c>
      <c r="B22" s="23" t="s">
        <v>32</v>
      </c>
      <c r="C22" s="23" t="s">
        <v>18</v>
      </c>
      <c r="D22" s="24" t="n">
        <v>44762.69</v>
      </c>
      <c r="E22" s="24" t="n">
        <v>0</v>
      </c>
      <c r="F22" s="24" t="n">
        <v>0</v>
      </c>
      <c r="G22" s="24" t="n">
        <v>3730.22</v>
      </c>
      <c r="H22" s="24" t="n">
        <v>1627.73</v>
      </c>
      <c r="I22" s="24" t="n">
        <f aca="false">G22+H22</f>
        <v>5357.95</v>
      </c>
      <c r="J22" s="24" t="n">
        <f aca="false">D22-I22</f>
        <v>39404.74</v>
      </c>
      <c r="K22" s="25" t="s">
        <v>64</v>
      </c>
      <c r="L22" s="25" t="s">
        <v>65</v>
      </c>
    </row>
    <row r="23" customFormat="false" ht="15" hidden="false" customHeight="false" outlineLevel="0" collapsed="false">
      <c r="A23" s="26"/>
      <c r="B23" s="27" t="s">
        <v>22</v>
      </c>
      <c r="C23" s="26"/>
      <c r="D23" s="28" t="n">
        <f aca="false">SUM(D17:D22)</f>
        <v>397500.19</v>
      </c>
      <c r="E23" s="28" t="n">
        <f aca="false">SUM(E17:E22)</f>
        <v>0</v>
      </c>
      <c r="F23" s="28" t="n">
        <f aca="false">SUM(F17:F22)</f>
        <v>109778.53</v>
      </c>
      <c r="G23" s="28" t="n">
        <f aca="false">SUM(G17:G22)</f>
        <v>133755.32</v>
      </c>
      <c r="H23" s="28" t="n">
        <f aca="false">SUM(H17:H22)</f>
        <v>10462.6</v>
      </c>
      <c r="I23" s="28" t="n">
        <f aca="false">SUM(I17:I22)</f>
        <v>144217.92</v>
      </c>
      <c r="J23" s="28" t="n">
        <f aca="false">SUM(J17:J22)</f>
        <v>253282.27</v>
      </c>
      <c r="K23" s="26"/>
      <c r="L23" s="26"/>
    </row>
    <row r="25" customFormat="false" ht="15" hidden="false" customHeight="false" outlineLevel="0" collapsed="false">
      <c r="B25" s="18" t="s">
        <v>72</v>
      </c>
    </row>
    <row r="26" customFormat="false" ht="15" hidden="false" customHeight="false" outlineLevel="0" collapsed="false">
      <c r="B26" s="5" t="s">
        <v>73</v>
      </c>
      <c r="D26" s="6" t="n">
        <f aca="false">I13</f>
        <v>131053.31</v>
      </c>
    </row>
    <row r="27" customFormat="false" ht="15" hidden="false" customHeight="false" outlineLevel="0" collapsed="false">
      <c r="B27" s="5" t="s">
        <v>74</v>
      </c>
      <c r="D27" s="6" t="n">
        <f aca="false">I23</f>
        <v>144217.92</v>
      </c>
    </row>
    <row r="28" customFormat="false" ht="15" hidden="false" customHeight="false" outlineLevel="0" collapsed="false">
      <c r="B28" s="11" t="s">
        <v>72</v>
      </c>
      <c r="D28" s="29" t="n">
        <f aca="false">D26-D27</f>
        <v>-13164.61</v>
      </c>
    </row>
    <row r="30" customFormat="false" ht="15" hidden="false" customHeight="false" outlineLevel="0" collapsed="false">
      <c r="A30" s="10" t="s">
        <v>75</v>
      </c>
    </row>
    <row r="31" customFormat="false" ht="15" hidden="false" customHeight="false" outlineLevel="0" collapsed="false">
      <c r="A31" s="21" t="s">
        <v>76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52</v>
      </c>
      <c r="B32" s="4" t="s">
        <v>53</v>
      </c>
      <c r="C32" s="4" t="s">
        <v>54</v>
      </c>
      <c r="D32" s="4" t="s">
        <v>55</v>
      </c>
      <c r="E32" s="4" t="s">
        <v>56</v>
      </c>
      <c r="F32" s="4" t="s">
        <v>57</v>
      </c>
      <c r="G32" s="4" t="s">
        <v>77</v>
      </c>
      <c r="H32" s="4" t="s">
        <v>78</v>
      </c>
      <c r="I32" s="4" t="s">
        <v>60</v>
      </c>
      <c r="J32" s="4" t="s">
        <v>61</v>
      </c>
      <c r="K32" s="4" t="s">
        <v>62</v>
      </c>
      <c r="L32" s="4" t="s">
        <v>63</v>
      </c>
    </row>
    <row r="33" customFormat="false" ht="15" hidden="false" customHeight="false" outlineLevel="0" collapsed="false">
      <c r="A33" s="23" t="n">
        <v>1</v>
      </c>
      <c r="B33" s="23" t="s">
        <v>19</v>
      </c>
      <c r="C33" s="23" t="s">
        <v>18</v>
      </c>
      <c r="D33" s="24" t="n">
        <v>302676.39</v>
      </c>
      <c r="E33" s="24" t="n">
        <v>0</v>
      </c>
      <c r="F33" s="24" t="n">
        <v>0</v>
      </c>
      <c r="G33" s="24" t="n">
        <v>25223.07</v>
      </c>
      <c r="H33" s="24" t="n">
        <v>11006.44</v>
      </c>
      <c r="I33" s="24" t="n">
        <f aca="false">G33+H33</f>
        <v>36229.51</v>
      </c>
      <c r="J33" s="24" t="n">
        <f aca="false">D33-I33</f>
        <v>266446.88</v>
      </c>
      <c r="K33" s="25" t="s">
        <v>64</v>
      </c>
      <c r="L33" s="25" t="s">
        <v>65</v>
      </c>
    </row>
    <row r="34" customFormat="false" ht="15" hidden="false" customHeight="false" outlineLevel="0" collapsed="false">
      <c r="A34" s="23" t="n">
        <v>2</v>
      </c>
      <c r="B34" s="23" t="s">
        <v>20</v>
      </c>
      <c r="C34" s="23" t="s">
        <v>18</v>
      </c>
      <c r="D34" s="24" t="n">
        <v>32982.17</v>
      </c>
      <c r="E34" s="24" t="n">
        <v>0</v>
      </c>
      <c r="F34" s="24" t="n">
        <v>32982.17</v>
      </c>
      <c r="G34" s="24" t="n">
        <v>32982.17</v>
      </c>
      <c r="H34" s="24" t="n">
        <v>0</v>
      </c>
      <c r="I34" s="24" t="n">
        <f aca="false">G34+H34</f>
        <v>32982.17</v>
      </c>
      <c r="J34" s="24" t="n">
        <f aca="false">D34-I34</f>
        <v>0</v>
      </c>
      <c r="K34" s="25" t="s">
        <v>66</v>
      </c>
      <c r="L34" s="25" t="s">
        <v>67</v>
      </c>
    </row>
    <row r="35" customFormat="false" ht="15" hidden="false" customHeight="false" outlineLevel="0" collapsed="false">
      <c r="A35" s="23" t="n">
        <v>3</v>
      </c>
      <c r="B35" s="23" t="s">
        <v>21</v>
      </c>
      <c r="C35" s="23" t="s">
        <v>18</v>
      </c>
      <c r="D35" s="24" t="n">
        <v>61841.63</v>
      </c>
      <c r="E35" s="24" t="n">
        <v>0</v>
      </c>
      <c r="F35" s="24" t="n">
        <v>61841.63</v>
      </c>
      <c r="G35" s="24" t="n">
        <v>61841.63</v>
      </c>
      <c r="H35" s="24" t="n">
        <v>0</v>
      </c>
      <c r="I35" s="24" t="n">
        <f aca="false">G35+H35</f>
        <v>61841.63</v>
      </c>
      <c r="J35" s="24" t="n">
        <f aca="false">D35-I35</f>
        <v>0</v>
      </c>
      <c r="K35" s="25" t="s">
        <v>68</v>
      </c>
      <c r="L35" s="25" t="s">
        <v>69</v>
      </c>
    </row>
    <row r="36" customFormat="false" ht="15" hidden="false" customHeight="false" outlineLevel="0" collapsed="false">
      <c r="A36" s="26"/>
      <c r="B36" s="27" t="s">
        <v>22</v>
      </c>
      <c r="C36" s="26"/>
      <c r="D36" s="28" t="n">
        <f aca="false">SUM(D33:D35)</f>
        <v>397500.19</v>
      </c>
      <c r="E36" s="28" t="n">
        <f aca="false">SUM(E33:E35)</f>
        <v>0</v>
      </c>
      <c r="F36" s="28" t="n">
        <f aca="false">SUM(F33:F35)</f>
        <v>94823.8</v>
      </c>
      <c r="G36" s="28" t="n">
        <f aca="false">SUM(G33:G35)</f>
        <v>120046.87</v>
      </c>
      <c r="H36" s="28" t="n">
        <f aca="false">SUM(H33:H35)</f>
        <v>11006.44</v>
      </c>
      <c r="I36" s="28" t="n">
        <f aca="false">SUM(I33:I35)</f>
        <v>131053.31</v>
      </c>
      <c r="J36" s="28" t="n">
        <f aca="false">SUM(J33:J35)</f>
        <v>266446.88</v>
      </c>
      <c r="K36" s="26"/>
      <c r="L36" s="26"/>
    </row>
    <row r="38" customFormat="false" ht="15" hidden="false" customHeight="false" outlineLevel="0" collapsed="false">
      <c r="A38" s="21" t="s">
        <v>79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52</v>
      </c>
      <c r="B39" s="4" t="s">
        <v>53</v>
      </c>
      <c r="C39" s="4" t="s">
        <v>54</v>
      </c>
      <c r="D39" s="4" t="s">
        <v>55</v>
      </c>
      <c r="E39" s="4" t="s">
        <v>56</v>
      </c>
      <c r="F39" s="4" t="s">
        <v>57</v>
      </c>
      <c r="G39" s="4" t="s">
        <v>77</v>
      </c>
      <c r="H39" s="4" t="s">
        <v>78</v>
      </c>
      <c r="I39" s="4" t="s">
        <v>60</v>
      </c>
      <c r="J39" s="4" t="s">
        <v>61</v>
      </c>
      <c r="K39" s="4" t="s">
        <v>62</v>
      </c>
      <c r="L39" s="4" t="s">
        <v>63</v>
      </c>
    </row>
    <row r="40" customFormat="false" ht="15" hidden="false" customHeight="false" outlineLevel="0" collapsed="false">
      <c r="A40" s="23" t="n">
        <v>1</v>
      </c>
      <c r="B40" s="23" t="s">
        <v>33</v>
      </c>
      <c r="C40" s="23" t="s">
        <v>18</v>
      </c>
      <c r="D40" s="24" t="n">
        <v>83590.83</v>
      </c>
      <c r="E40" s="24" t="n">
        <v>0</v>
      </c>
      <c r="F40" s="24" t="n">
        <v>83590.83</v>
      </c>
      <c r="G40" s="24" t="n">
        <v>83590.83</v>
      </c>
      <c r="H40" s="24" t="n">
        <v>0</v>
      </c>
      <c r="I40" s="24" t="n">
        <f aca="false">G40+H40</f>
        <v>83590.83</v>
      </c>
      <c r="J40" s="24" t="n">
        <f aca="false">D40-I40</f>
        <v>0</v>
      </c>
      <c r="K40" s="25" t="s">
        <v>68</v>
      </c>
      <c r="L40" s="25" t="s">
        <v>69</v>
      </c>
    </row>
    <row r="41" customFormat="false" ht="15" hidden="false" customHeight="false" outlineLevel="0" collapsed="false">
      <c r="A41" s="23" t="n">
        <v>2</v>
      </c>
      <c r="B41" s="23" t="s">
        <v>26</v>
      </c>
      <c r="C41" s="23" t="s">
        <v>18</v>
      </c>
      <c r="D41" s="24" t="n">
        <v>219085.56</v>
      </c>
      <c r="E41" s="24" t="n">
        <v>0</v>
      </c>
      <c r="F41" s="24" t="n">
        <v>0</v>
      </c>
      <c r="G41" s="24" t="n">
        <v>18257.13</v>
      </c>
      <c r="H41" s="24" t="n">
        <v>7966.75</v>
      </c>
      <c r="I41" s="24" t="n">
        <f aca="false">G41+H41</f>
        <v>26223.88</v>
      </c>
      <c r="J41" s="24" t="n">
        <f aca="false">D41-I41</f>
        <v>192861.68</v>
      </c>
      <c r="K41" s="25" t="s">
        <v>64</v>
      </c>
      <c r="L41" s="25" t="s">
        <v>65</v>
      </c>
    </row>
    <row r="42" customFormat="false" ht="15" hidden="false" customHeight="false" outlineLevel="0" collapsed="false">
      <c r="A42" s="23" t="n">
        <v>3</v>
      </c>
      <c r="B42" s="23" t="s">
        <v>34</v>
      </c>
      <c r="C42" s="23" t="s">
        <v>18</v>
      </c>
      <c r="D42" s="24" t="n">
        <v>9108.76</v>
      </c>
      <c r="E42" s="24" t="n">
        <v>0</v>
      </c>
      <c r="F42" s="24" t="n">
        <v>9108.76</v>
      </c>
      <c r="G42" s="24" t="n">
        <v>9108.76</v>
      </c>
      <c r="H42" s="24" t="n">
        <v>0</v>
      </c>
      <c r="I42" s="24" t="n">
        <f aca="false">G42+H42</f>
        <v>9108.76</v>
      </c>
      <c r="J42" s="24" t="n">
        <f aca="false">D42-I42</f>
        <v>0</v>
      </c>
      <c r="K42" s="25" t="s">
        <v>68</v>
      </c>
      <c r="L42" s="25" t="s">
        <v>69</v>
      </c>
    </row>
    <row r="43" customFormat="false" ht="15" hidden="false" customHeight="false" outlineLevel="0" collapsed="false">
      <c r="A43" s="23" t="n">
        <v>4</v>
      </c>
      <c r="B43" s="23" t="s">
        <v>26</v>
      </c>
      <c r="C43" s="23" t="s">
        <v>18</v>
      </c>
      <c r="D43" s="24" t="n">
        <v>23873.41</v>
      </c>
      <c r="E43" s="24" t="n">
        <v>0</v>
      </c>
      <c r="F43" s="24" t="n">
        <v>0</v>
      </c>
      <c r="G43" s="24" t="n">
        <v>1989.44</v>
      </c>
      <c r="H43" s="24" t="n">
        <v>868.12</v>
      </c>
      <c r="I43" s="24" t="n">
        <f aca="false">G43+H43</f>
        <v>2857.56</v>
      </c>
      <c r="J43" s="24" t="n">
        <f aca="false">D43-I43</f>
        <v>21015.85</v>
      </c>
      <c r="K43" s="25" t="s">
        <v>64</v>
      </c>
      <c r="L43" s="25" t="s">
        <v>65</v>
      </c>
    </row>
    <row r="44" customFormat="false" ht="15" hidden="false" customHeight="false" outlineLevel="0" collapsed="false">
      <c r="A44" s="23" t="n">
        <v>5</v>
      </c>
      <c r="B44" s="23" t="s">
        <v>35</v>
      </c>
      <c r="C44" s="23" t="s">
        <v>18</v>
      </c>
      <c r="D44" s="24" t="n">
        <v>17078.94</v>
      </c>
      <c r="E44" s="24" t="n">
        <v>0</v>
      </c>
      <c r="F44" s="24" t="n">
        <v>17078.94</v>
      </c>
      <c r="G44" s="24" t="n">
        <v>17078.94</v>
      </c>
      <c r="H44" s="24" t="n">
        <v>0</v>
      </c>
      <c r="I44" s="24" t="n">
        <f aca="false">G44+H44</f>
        <v>17078.94</v>
      </c>
      <c r="J44" s="24" t="n">
        <f aca="false">D44-I44</f>
        <v>0</v>
      </c>
      <c r="K44" s="25" t="s">
        <v>68</v>
      </c>
      <c r="L44" s="25" t="s">
        <v>69</v>
      </c>
    </row>
    <row r="45" customFormat="false" ht="15" hidden="false" customHeight="false" outlineLevel="0" collapsed="false">
      <c r="A45" s="23" t="n">
        <v>6</v>
      </c>
      <c r="B45" s="23" t="s">
        <v>32</v>
      </c>
      <c r="C45" s="23" t="s">
        <v>18</v>
      </c>
      <c r="D45" s="24" t="n">
        <v>44762.69</v>
      </c>
      <c r="E45" s="24" t="n">
        <v>0</v>
      </c>
      <c r="F45" s="24" t="n">
        <v>0</v>
      </c>
      <c r="G45" s="24" t="n">
        <v>3730.22</v>
      </c>
      <c r="H45" s="24" t="n">
        <v>1627.73</v>
      </c>
      <c r="I45" s="24" t="n">
        <f aca="false">G45+H45</f>
        <v>5357.95</v>
      </c>
      <c r="J45" s="24" t="n">
        <f aca="false">D45-I45</f>
        <v>39404.74</v>
      </c>
      <c r="K45" s="25" t="s">
        <v>64</v>
      </c>
      <c r="L45" s="25" t="s">
        <v>65</v>
      </c>
    </row>
    <row r="46" customFormat="false" ht="15" hidden="false" customHeight="false" outlineLevel="0" collapsed="false">
      <c r="A46" s="26"/>
      <c r="B46" s="27" t="s">
        <v>22</v>
      </c>
      <c r="C46" s="26"/>
      <c r="D46" s="28" t="n">
        <f aca="false">SUM(D40:D45)</f>
        <v>397500.19</v>
      </c>
      <c r="E46" s="28" t="n">
        <f aca="false">SUM(E40:E45)</f>
        <v>0</v>
      </c>
      <c r="F46" s="28" t="n">
        <f aca="false">SUM(F40:F45)</f>
        <v>109778.53</v>
      </c>
      <c r="G46" s="28" t="n">
        <f aca="false">SUM(G40:G45)</f>
        <v>133755.32</v>
      </c>
      <c r="H46" s="28" t="n">
        <f aca="false">SUM(H40:H45)</f>
        <v>10462.6</v>
      </c>
      <c r="I46" s="28" t="n">
        <f aca="false">SUM(I40:I45)</f>
        <v>144217.92</v>
      </c>
      <c r="J46" s="28" t="n">
        <f aca="false">SUM(J40:J45)</f>
        <v>253282.27</v>
      </c>
      <c r="K46" s="26"/>
      <c r="L46" s="26"/>
    </row>
    <row r="48" customFormat="false" ht="15" hidden="false" customHeight="false" outlineLevel="0" collapsed="false">
      <c r="B48" s="18" t="s">
        <v>80</v>
      </c>
    </row>
    <row r="49" customFormat="false" ht="15" hidden="false" customHeight="false" outlineLevel="0" collapsed="false">
      <c r="B49" s="5" t="s">
        <v>73</v>
      </c>
      <c r="D49" s="6" t="n">
        <f aca="false">I36</f>
        <v>131053.31</v>
      </c>
    </row>
    <row r="50" customFormat="false" ht="15" hidden="false" customHeight="false" outlineLevel="0" collapsed="false">
      <c r="B50" s="5" t="s">
        <v>74</v>
      </c>
      <c r="D50" s="6" t="n">
        <f aca="false">I46</f>
        <v>144217.92</v>
      </c>
    </row>
    <row r="51" customFormat="false" ht="15" hidden="false" customHeight="false" outlineLevel="0" collapsed="false">
      <c r="B51" s="11" t="s">
        <v>80</v>
      </c>
      <c r="D51" s="29" t="n">
        <f aca="false">D49-D50</f>
        <v>-13164.61</v>
      </c>
    </row>
    <row r="53" customFormat="false" ht="15" hidden="false" customHeight="false" outlineLevel="0" collapsed="false">
      <c r="A53" s="10" t="s">
        <v>81</v>
      </c>
    </row>
    <row r="54" customFormat="false" ht="15" hidden="false" customHeight="false" outlineLevel="0" collapsed="false">
      <c r="B54" s="11" t="s">
        <v>115</v>
      </c>
      <c r="D54" s="12" t="n">
        <f aca="false">D94</f>
        <v>397500.19</v>
      </c>
    </row>
    <row r="55" customFormat="false" ht="15" hidden="false" customHeight="false" outlineLevel="0" collapsed="false">
      <c r="B55" s="5" t="s">
        <v>116</v>
      </c>
      <c r="D55" s="6" t="n">
        <f aca="false">F94</f>
        <v>109778.53</v>
      </c>
    </row>
    <row r="56" customFormat="false" ht="15" hidden="false" customHeight="false" outlineLevel="0" collapsed="false">
      <c r="B56" s="30" t="s">
        <v>84</v>
      </c>
      <c r="D56" s="31" t="n">
        <f aca="false">F95</f>
        <v>0.276172270508852</v>
      </c>
    </row>
    <row r="57" customFormat="false" ht="15" hidden="false" customHeight="false" outlineLevel="0" collapsed="false">
      <c r="B57" s="5" t="s">
        <v>117</v>
      </c>
      <c r="D57" s="6" t="n">
        <f aca="false">H94</f>
        <v>287721.66</v>
      </c>
    </row>
    <row r="58" customFormat="false" ht="15" hidden="false" customHeight="false" outlineLevel="0" collapsed="false">
      <c r="B58" s="30" t="s">
        <v>84</v>
      </c>
      <c r="D58" s="31" t="n">
        <f aca="false">H95</f>
        <v>0.723827729491148</v>
      </c>
    </row>
    <row r="60" customFormat="false" ht="15" hidden="false" customHeight="false" outlineLevel="0" collapsed="false">
      <c r="A60" s="10" t="s">
        <v>87</v>
      </c>
    </row>
    <row r="61" customFormat="false" ht="15" hidden="false" customHeight="false" outlineLevel="0" collapsed="false">
      <c r="B61" s="4" t="s">
        <v>88</v>
      </c>
      <c r="D61" s="4" t="s">
        <v>55</v>
      </c>
      <c r="F61" s="4" t="s">
        <v>118</v>
      </c>
      <c r="H61" s="4" t="s">
        <v>91</v>
      </c>
    </row>
    <row r="62" customFormat="false" ht="15" hidden="false" customHeight="false" outlineLevel="0" collapsed="false">
      <c r="B62" s="32" t="s">
        <v>119</v>
      </c>
    </row>
    <row r="63" customFormat="false" ht="15" hidden="false" customHeight="false" outlineLevel="0" collapsed="false">
      <c r="B63" s="5" t="s">
        <v>120</v>
      </c>
      <c r="D63" s="33" t="n">
        <f aca="false">SUM(F63:H63)</f>
        <v>26445.19</v>
      </c>
      <c r="F63" s="33" t="n">
        <v>26445.19</v>
      </c>
    </row>
    <row r="64" customFormat="false" ht="15" hidden="false" customHeight="false" outlineLevel="0" collapsed="false">
      <c r="B64" s="5" t="s">
        <v>121</v>
      </c>
      <c r="D64" s="33" t="n">
        <f aca="false">SUM(F64:H64)</f>
        <v>4635.69</v>
      </c>
      <c r="F64" s="33" t="n">
        <v>4635.69</v>
      </c>
    </row>
    <row r="65" customFormat="false" ht="15" hidden="false" customHeight="false" outlineLevel="0" collapsed="false">
      <c r="B65" s="5" t="s">
        <v>151</v>
      </c>
      <c r="D65" s="33" t="n">
        <f aca="false">SUM(F65:H65)</f>
        <v>9118.09</v>
      </c>
      <c r="F65" s="33" t="n">
        <v>9118.09</v>
      </c>
    </row>
    <row r="66" customFormat="false" ht="15" hidden="false" customHeight="false" outlineLevel="0" collapsed="false">
      <c r="B66" s="5" t="s">
        <v>122</v>
      </c>
      <c r="D66" s="33" t="n">
        <f aca="false">SUM(F66:H66)</f>
        <v>17166.07</v>
      </c>
      <c r="F66" s="33" t="n">
        <v>17166.07</v>
      </c>
    </row>
    <row r="67" customFormat="false" ht="15" hidden="false" customHeight="false" outlineLevel="0" collapsed="false">
      <c r="B67" s="5" t="s">
        <v>123</v>
      </c>
      <c r="D67" s="33" t="n">
        <f aca="false">SUM(F67:H67)</f>
        <v>2842.52</v>
      </c>
      <c r="F67" s="33" t="n">
        <v>2842.52</v>
      </c>
    </row>
    <row r="68" customFormat="false" ht="15" hidden="false" customHeight="false" outlineLevel="0" collapsed="false">
      <c r="B68" s="5" t="s">
        <v>124</v>
      </c>
      <c r="D68" s="33" t="n">
        <f aca="false">SUM(F68:H68)</f>
        <v>2418.44</v>
      </c>
      <c r="F68" s="33" t="n">
        <v>2418.44</v>
      </c>
    </row>
    <row r="69" customFormat="false" ht="15" hidden="false" customHeight="false" outlineLevel="0" collapsed="false">
      <c r="B69" s="5" t="s">
        <v>125</v>
      </c>
      <c r="D69" s="33" t="n">
        <f aca="false">SUM(F69:H69)</f>
        <v>718.3</v>
      </c>
      <c r="F69" s="33" t="n">
        <v>718.3</v>
      </c>
    </row>
    <row r="70" customFormat="false" ht="15" hidden="false" customHeight="false" outlineLevel="0" collapsed="false">
      <c r="B70" s="5" t="s">
        <v>126</v>
      </c>
      <c r="D70" s="33" t="n">
        <f aca="false">SUM(F70:H70)</f>
        <v>705.03</v>
      </c>
      <c r="F70" s="33" t="n">
        <v>705.03</v>
      </c>
    </row>
    <row r="71" customFormat="false" ht="15" hidden="false" customHeight="false" outlineLevel="0" collapsed="false">
      <c r="B71" s="5" t="s">
        <v>127</v>
      </c>
      <c r="D71" s="33" t="n">
        <f aca="false">SUM(F71:H71)</f>
        <v>12363.8</v>
      </c>
      <c r="F71" s="33" t="n">
        <v>12363.8</v>
      </c>
    </row>
    <row r="72" customFormat="false" ht="15" hidden="false" customHeight="false" outlineLevel="0" collapsed="false">
      <c r="B72" s="5" t="s">
        <v>128</v>
      </c>
      <c r="D72" s="33" t="n">
        <f aca="false">SUM(F72:H72)</f>
        <v>2600.58</v>
      </c>
      <c r="F72" s="33" t="n">
        <v>2600.58</v>
      </c>
    </row>
    <row r="73" customFormat="false" ht="15" hidden="false" customHeight="false" outlineLevel="0" collapsed="false">
      <c r="B73" s="5" t="s">
        <v>129</v>
      </c>
      <c r="D73" s="33" t="n">
        <f aca="false">SUM(F73:H73)</f>
        <v>13431.92</v>
      </c>
      <c r="F73" s="33" t="n">
        <v>13431.92</v>
      </c>
    </row>
    <row r="74" customFormat="false" ht="15" hidden="false" customHeight="false" outlineLevel="0" collapsed="false">
      <c r="B74" s="5" t="s">
        <v>130</v>
      </c>
      <c r="D74" s="33" t="n">
        <f aca="false">SUM(F74:H74)</f>
        <v>1140.5</v>
      </c>
      <c r="F74" s="33" t="n">
        <v>1140.5</v>
      </c>
    </row>
    <row r="75" customFormat="false" ht="15" hidden="false" customHeight="false" outlineLevel="0" collapsed="false">
      <c r="B75" s="5" t="s">
        <v>131</v>
      </c>
      <c r="D75" s="33" t="n">
        <f aca="false">SUM(F75:H75)</f>
        <v>1360.86</v>
      </c>
      <c r="F75" s="33" t="n">
        <v>1360.86</v>
      </c>
    </row>
    <row r="76" customFormat="false" ht="15" hidden="false" customHeight="false" outlineLevel="0" collapsed="false">
      <c r="B76" s="5" t="s">
        <v>132</v>
      </c>
      <c r="D76" s="33" t="n">
        <f aca="false">SUM(F76:H76)</f>
        <v>14831.54</v>
      </c>
      <c r="F76" s="33" t="n">
        <v>14831.54</v>
      </c>
    </row>
    <row r="77" customFormat="false" ht="15" hidden="false" customHeight="false" outlineLevel="0" collapsed="false">
      <c r="B77" s="32" t="s">
        <v>133</v>
      </c>
    </row>
    <row r="78" customFormat="false" ht="15" hidden="false" customHeight="false" outlineLevel="0" collapsed="false">
      <c r="B78" s="5" t="s">
        <v>134</v>
      </c>
      <c r="D78" s="33" t="n">
        <f aca="false">SUM(F78:H78)</f>
        <v>19166.81</v>
      </c>
      <c r="H78" s="33" t="n">
        <v>19166.81</v>
      </c>
    </row>
    <row r="79" customFormat="false" ht="15" hidden="false" customHeight="false" outlineLevel="0" collapsed="false">
      <c r="B79" s="5" t="s">
        <v>135</v>
      </c>
      <c r="D79" s="33" t="n">
        <f aca="false">SUM(F79:H79)</f>
        <v>26894.18</v>
      </c>
      <c r="H79" s="33" t="n">
        <v>26894.18</v>
      </c>
    </row>
    <row r="80" customFormat="false" ht="15" hidden="false" customHeight="false" outlineLevel="0" collapsed="false">
      <c r="B80" s="5" t="s">
        <v>136</v>
      </c>
      <c r="D80" s="33" t="n">
        <f aca="false">SUM(F80:H80)</f>
        <v>19273.71</v>
      </c>
      <c r="H80" s="33" t="n">
        <v>19273.71</v>
      </c>
    </row>
    <row r="81" customFormat="false" ht="15" hidden="false" customHeight="false" outlineLevel="0" collapsed="false">
      <c r="B81" s="5" t="s">
        <v>137</v>
      </c>
      <c r="D81" s="33" t="n">
        <f aca="false">SUM(F81:H81)</f>
        <v>24003.39</v>
      </c>
      <c r="H81" s="33" t="n">
        <v>24003.39</v>
      </c>
    </row>
    <row r="82" customFormat="false" ht="15" hidden="false" customHeight="false" outlineLevel="0" collapsed="false">
      <c r="B82" s="5" t="s">
        <v>138</v>
      </c>
      <c r="D82" s="33" t="n">
        <f aca="false">SUM(F82:H82)</f>
        <v>23233.4</v>
      </c>
      <c r="H82" s="33" t="n">
        <v>23233.4</v>
      </c>
    </row>
    <row r="83" customFormat="false" ht="15" hidden="false" customHeight="false" outlineLevel="0" collapsed="false">
      <c r="B83" s="5" t="s">
        <v>139</v>
      </c>
      <c r="D83" s="33" t="n">
        <f aca="false">SUM(F83:H83)</f>
        <v>8832.92</v>
      </c>
      <c r="H83" s="33" t="n">
        <v>8832.92</v>
      </c>
    </row>
    <row r="84" customFormat="false" ht="15" hidden="false" customHeight="false" outlineLevel="0" collapsed="false">
      <c r="B84" s="5" t="s">
        <v>140</v>
      </c>
      <c r="D84" s="33" t="n">
        <f aca="false">SUM(F84:H84)</f>
        <v>17315.31</v>
      </c>
      <c r="H84" s="33" t="n">
        <v>17315.31</v>
      </c>
    </row>
    <row r="85" customFormat="false" ht="15" hidden="false" customHeight="false" outlineLevel="0" collapsed="false">
      <c r="B85" s="5" t="s">
        <v>141</v>
      </c>
      <c r="D85" s="33" t="n">
        <f aca="false">SUM(F85:H85)</f>
        <v>10659.46</v>
      </c>
      <c r="H85" s="33" t="n">
        <v>10659.46</v>
      </c>
    </row>
    <row r="86" customFormat="false" ht="15" hidden="false" customHeight="false" outlineLevel="0" collapsed="false">
      <c r="B86" s="5" t="s">
        <v>142</v>
      </c>
      <c r="D86" s="33" t="n">
        <f aca="false">SUM(F86:H86)</f>
        <v>12873.87</v>
      </c>
      <c r="H86" s="33" t="n">
        <v>12873.87</v>
      </c>
    </row>
    <row r="87" customFormat="false" ht="15" hidden="false" customHeight="false" outlineLevel="0" collapsed="false">
      <c r="B87" s="5" t="s">
        <v>143</v>
      </c>
      <c r="D87" s="33" t="n">
        <f aca="false">SUM(F87:H87)</f>
        <v>29302.11</v>
      </c>
      <c r="H87" s="33" t="n">
        <v>29302.11</v>
      </c>
    </row>
    <row r="88" customFormat="false" ht="15" hidden="false" customHeight="false" outlineLevel="0" collapsed="false">
      <c r="B88" s="5" t="s">
        <v>144</v>
      </c>
      <c r="D88" s="33" t="n">
        <f aca="false">SUM(F88:H88)</f>
        <v>11976.41</v>
      </c>
      <c r="H88" s="33" t="n">
        <v>11976.41</v>
      </c>
    </row>
    <row r="89" customFormat="false" ht="15" hidden="false" customHeight="false" outlineLevel="0" collapsed="false">
      <c r="B89" s="5" t="s">
        <v>145</v>
      </c>
      <c r="D89" s="33" t="n">
        <f aca="false">SUM(F89:H89)</f>
        <v>1737.32</v>
      </c>
      <c r="H89" s="33" t="n">
        <v>1737.32</v>
      </c>
    </row>
    <row r="90" customFormat="false" ht="15" hidden="false" customHeight="false" outlineLevel="0" collapsed="false">
      <c r="B90" s="5" t="s">
        <v>146</v>
      </c>
      <c r="D90" s="33" t="n">
        <f aca="false">SUM(F90:H90)</f>
        <v>63061.18</v>
      </c>
      <c r="H90" s="33" t="n">
        <v>63061.18</v>
      </c>
    </row>
    <row r="91" customFormat="false" ht="15" hidden="false" customHeight="false" outlineLevel="0" collapsed="false">
      <c r="B91" s="5" t="s">
        <v>147</v>
      </c>
      <c r="D91" s="33" t="n">
        <f aca="false">SUM(F91:H91)</f>
        <v>10815.9</v>
      </c>
      <c r="H91" s="33" t="n">
        <v>10815.9</v>
      </c>
    </row>
    <row r="92" customFormat="false" ht="15" hidden="false" customHeight="false" outlineLevel="0" collapsed="false">
      <c r="B92" s="5" t="s">
        <v>148</v>
      </c>
      <c r="D92" s="33" t="n">
        <f aca="false">SUM(F92:H92)</f>
        <v>5272.42</v>
      </c>
      <c r="H92" s="33" t="n">
        <v>5272.42</v>
      </c>
    </row>
    <row r="93" customFormat="false" ht="15" hidden="false" customHeight="false" outlineLevel="0" collapsed="false">
      <c r="B93" s="5" t="s">
        <v>149</v>
      </c>
      <c r="D93" s="33" t="n">
        <f aca="false">SUM(F93:H93)</f>
        <v>3303.27</v>
      </c>
      <c r="H93" s="33" t="n">
        <v>3303.27</v>
      </c>
    </row>
    <row r="94" customFormat="false" ht="15" hidden="false" customHeight="false" outlineLevel="0" collapsed="false">
      <c r="B94" s="11" t="s">
        <v>115</v>
      </c>
      <c r="D94" s="34" t="n">
        <f aca="false">SUM(D62:D93)</f>
        <v>397500.19</v>
      </c>
      <c r="F94" s="34" t="n">
        <f aca="false">SUM(F62:F93)</f>
        <v>109778.53</v>
      </c>
      <c r="H94" s="34" t="n">
        <f aca="false">SUM(H62:H93)</f>
        <v>287721.66</v>
      </c>
    </row>
    <row r="95" customFormat="false" ht="15" hidden="false" customHeight="false" outlineLevel="0" collapsed="false">
      <c r="B95" s="30" t="s">
        <v>84</v>
      </c>
      <c r="F95" s="31" t="n">
        <f aca="false">F94/D94</f>
        <v>0.276172270508852</v>
      </c>
      <c r="H95" s="31" t="n">
        <f aca="false">H94/D94</f>
        <v>0.723827729491148</v>
      </c>
    </row>
    <row r="97" customFormat="false" ht="15" hidden="false" customHeight="false" outlineLevel="0" collapsed="false">
      <c r="A97" s="10" t="s">
        <v>110</v>
      </c>
    </row>
    <row r="98" customFormat="false" ht="15" hidden="false" customHeight="false" outlineLevel="0" collapsed="false">
      <c r="B98" s="4" t="s">
        <v>111</v>
      </c>
      <c r="D98" s="4" t="s">
        <v>55</v>
      </c>
      <c r="F98" s="4" t="s">
        <v>118</v>
      </c>
      <c r="H98" s="4" t="s">
        <v>91</v>
      </c>
    </row>
    <row r="99" customFormat="false" ht="15" hidden="false" customHeight="false" outlineLevel="0" collapsed="false">
      <c r="B99" s="5" t="str">
        <f aca="false">'Bldg 8'!B17</f>
        <v>2-Building-5yr</v>
      </c>
      <c r="D99" s="33" t="n">
        <f aca="false">SUM(F99:H99)</f>
        <v>83590.83</v>
      </c>
      <c r="F99" s="33" t="n">
        <f aca="false">'Bldg 8'!D17</f>
        <v>83590.83</v>
      </c>
    </row>
    <row r="100" customFormat="false" ht="15" hidden="false" customHeight="false" outlineLevel="0" collapsed="false">
      <c r="B100" s="5" t="str">
        <f aca="false">'Bldg 8'!B18</f>
        <v>2-Building-27.5yr</v>
      </c>
      <c r="D100" s="33" t="n">
        <f aca="false">SUM(F100:H100)</f>
        <v>219085.56</v>
      </c>
      <c r="H100" s="33" t="n">
        <f aca="false">'Bldg 8'!D18</f>
        <v>219085.56</v>
      </c>
    </row>
    <row r="101" customFormat="false" ht="15" hidden="false" customHeight="false" outlineLevel="0" collapsed="false">
      <c r="B101" s="5" t="str">
        <f aca="false">'Bldg 8'!B19</f>
        <v>3-Land Improvements-5yr</v>
      </c>
      <c r="D101" s="33" t="n">
        <f aca="false">SUM(F101:H101)</f>
        <v>9108.76</v>
      </c>
      <c r="F101" s="33" t="n">
        <f aca="false">'Bldg 8'!D19</f>
        <v>9108.76</v>
      </c>
    </row>
    <row r="102" customFormat="false" ht="15" hidden="false" customHeight="false" outlineLevel="0" collapsed="false">
      <c r="B102" s="5" t="str">
        <f aca="false">'Bldg 8'!B20</f>
        <v>2-Building-27.5yr</v>
      </c>
      <c r="D102" s="33" t="n">
        <f aca="false">SUM(F102:H102)</f>
        <v>23873.41</v>
      </c>
      <c r="H102" s="33" t="n">
        <f aca="false">'Bldg 8'!D20</f>
        <v>23873.41</v>
      </c>
    </row>
    <row r="103" customFormat="false" ht="15" hidden="false" customHeight="false" outlineLevel="0" collapsed="false">
      <c r="B103" s="5" t="str">
        <f aca="false">'Bldg 8'!B21</f>
        <v>4-Equipment-5yr</v>
      </c>
      <c r="D103" s="33" t="n">
        <f aca="false">SUM(F103:H103)</f>
        <v>17078.94</v>
      </c>
      <c r="F103" s="33" t="n">
        <f aca="false">'Bldg 8'!D21</f>
        <v>17078.94</v>
      </c>
    </row>
    <row r="104" customFormat="false" ht="15" hidden="false" customHeight="false" outlineLevel="0" collapsed="false">
      <c r="B104" s="5" t="str">
        <f aca="false">'Bldg 8'!B22</f>
        <v>4-Equipment-27.5yr</v>
      </c>
      <c r="D104" s="33" t="n">
        <f aca="false">SUM(F104:H104)</f>
        <v>44762.69</v>
      </c>
      <c r="H104" s="33" t="n">
        <f aca="false">'Bldg 8'!D22</f>
        <v>44762.69</v>
      </c>
    </row>
    <row r="105" customFormat="false" ht="15" hidden="false" customHeight="false" outlineLevel="0" collapsed="false">
      <c r="B105" s="11" t="s">
        <v>112</v>
      </c>
      <c r="D105" s="34" t="n">
        <f aca="false">SUM(D99:D104)</f>
        <v>397500.19</v>
      </c>
      <c r="F105" s="34" t="n">
        <f aca="false">SUM(F99:F104)</f>
        <v>109778.53</v>
      </c>
      <c r="H105" s="34" t="n">
        <f aca="false">SUM(H99:H104)</f>
        <v>287721.66</v>
      </c>
    </row>
    <row r="106" customFormat="false" ht="15" hidden="false" customHeight="false" outlineLevel="0" collapsed="false">
      <c r="B106" s="16" t="s">
        <v>113</v>
      </c>
      <c r="D106" s="17" t="n">
        <f aca="false">D105-D94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158</v>
      </c>
    </row>
    <row r="5" customFormat="false" ht="15" hidden="false" customHeight="false" outlineLevel="0" collapsed="false">
      <c r="A5" s="16" t="s">
        <v>49</v>
      </c>
    </row>
    <row r="7" customFormat="false" ht="15" hidden="false" customHeight="false" outlineLevel="0" collapsed="false">
      <c r="A7" s="10" t="s">
        <v>50</v>
      </c>
    </row>
    <row r="8" customFormat="false" ht="15" hidden="false" customHeight="false" outlineLevel="0" collapsed="false">
      <c r="A8" s="21" t="s">
        <v>51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18</v>
      </c>
      <c r="D10" s="24" t="n">
        <v>302676.39</v>
      </c>
      <c r="E10" s="24" t="n">
        <v>0</v>
      </c>
      <c r="F10" s="24" t="n">
        <v>0</v>
      </c>
      <c r="G10" s="24" t="n">
        <v>25223.07</v>
      </c>
      <c r="H10" s="24" t="n">
        <v>11006.44</v>
      </c>
      <c r="I10" s="24" t="n">
        <f aca="false">G10+H10</f>
        <v>36229.51</v>
      </c>
      <c r="J10" s="24" t="n">
        <f aca="false">D10-I10</f>
        <v>266446.88</v>
      </c>
      <c r="K10" s="25" t="s">
        <v>64</v>
      </c>
      <c r="L10" s="25" t="s">
        <v>65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18</v>
      </c>
      <c r="D11" s="24" t="n">
        <v>32982.17</v>
      </c>
      <c r="E11" s="24" t="n">
        <v>0</v>
      </c>
      <c r="F11" s="24" t="n">
        <v>32982.17</v>
      </c>
      <c r="G11" s="24" t="n">
        <v>32982.17</v>
      </c>
      <c r="H11" s="24" t="n">
        <v>0</v>
      </c>
      <c r="I11" s="24" t="n">
        <f aca="false">G11+H11</f>
        <v>32982.17</v>
      </c>
      <c r="J11" s="24" t="n">
        <f aca="false">D11-I11</f>
        <v>0</v>
      </c>
      <c r="K11" s="25" t="s">
        <v>66</v>
      </c>
      <c r="L11" s="25" t="s">
        <v>67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18</v>
      </c>
      <c r="D12" s="24" t="n">
        <v>61841.63</v>
      </c>
      <c r="E12" s="24" t="n">
        <v>0</v>
      </c>
      <c r="F12" s="24" t="n">
        <v>61841.63</v>
      </c>
      <c r="G12" s="24" t="n">
        <v>61841.63</v>
      </c>
      <c r="H12" s="24" t="n">
        <v>0</v>
      </c>
      <c r="I12" s="24" t="n">
        <f aca="false">G12+H12</f>
        <v>61841.63</v>
      </c>
      <c r="J12" s="24" t="n">
        <f aca="false">D12-I12</f>
        <v>0</v>
      </c>
      <c r="K12" s="25" t="s">
        <v>68</v>
      </c>
      <c r="L12" s="25" t="s">
        <v>69</v>
      </c>
    </row>
    <row r="13" customFormat="false" ht="15" hidden="false" customHeight="false" outlineLevel="0" collapsed="false">
      <c r="A13" s="26"/>
      <c r="B13" s="27" t="s">
        <v>22</v>
      </c>
      <c r="C13" s="26"/>
      <c r="D13" s="28" t="n">
        <f aca="false">SUM(D10:D12)</f>
        <v>397500.19</v>
      </c>
      <c r="E13" s="28" t="n">
        <f aca="false">SUM(E10:E12)</f>
        <v>0</v>
      </c>
      <c r="F13" s="28" t="n">
        <f aca="false">SUM(F10:F12)</f>
        <v>94823.8</v>
      </c>
      <c r="G13" s="28" t="n">
        <f aca="false">SUM(G10:G12)</f>
        <v>120046.87</v>
      </c>
      <c r="H13" s="28" t="n">
        <f aca="false">SUM(H10:H12)</f>
        <v>11006.44</v>
      </c>
      <c r="I13" s="28" t="n">
        <f aca="false">SUM(I10:I12)</f>
        <v>131053.31</v>
      </c>
      <c r="J13" s="28" t="n">
        <f aca="false">SUM(J10:J12)</f>
        <v>266446.88</v>
      </c>
      <c r="K13" s="26"/>
      <c r="L13" s="26"/>
    </row>
    <row r="15" customFormat="false" ht="15" hidden="false" customHeight="false" outlineLevel="0" collapsed="false">
      <c r="A15" s="21" t="s">
        <v>70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52</v>
      </c>
      <c r="B16" s="4" t="s">
        <v>53</v>
      </c>
      <c r="C16" s="4" t="s">
        <v>54</v>
      </c>
      <c r="D16" s="4" t="s">
        <v>55</v>
      </c>
      <c r="E16" s="4" t="s">
        <v>56</v>
      </c>
      <c r="F16" s="4" t="s">
        <v>57</v>
      </c>
      <c r="G16" s="4" t="s">
        <v>58</v>
      </c>
      <c r="H16" s="4" t="s">
        <v>59</v>
      </c>
      <c r="I16" s="4" t="s">
        <v>60</v>
      </c>
      <c r="J16" s="4" t="s">
        <v>61</v>
      </c>
      <c r="K16" s="4" t="s">
        <v>62</v>
      </c>
      <c r="L16" s="4" t="s">
        <v>63</v>
      </c>
    </row>
    <row r="17" customFormat="false" ht="15" hidden="false" customHeight="false" outlineLevel="0" collapsed="false">
      <c r="A17" s="23" t="n">
        <v>1</v>
      </c>
      <c r="B17" s="23" t="s">
        <v>33</v>
      </c>
      <c r="C17" s="23" t="s">
        <v>18</v>
      </c>
      <c r="D17" s="24" t="n">
        <v>83590.83</v>
      </c>
      <c r="E17" s="24" t="n">
        <v>0</v>
      </c>
      <c r="F17" s="24" t="n">
        <v>83590.83</v>
      </c>
      <c r="G17" s="24" t="n">
        <v>83590.83</v>
      </c>
      <c r="H17" s="24" t="n">
        <v>0</v>
      </c>
      <c r="I17" s="24" t="n">
        <f aca="false">G17+H17</f>
        <v>83590.83</v>
      </c>
      <c r="J17" s="24" t="n">
        <f aca="false">D17-I17</f>
        <v>0</v>
      </c>
      <c r="K17" s="25" t="s">
        <v>68</v>
      </c>
      <c r="L17" s="25" t="s">
        <v>69</v>
      </c>
    </row>
    <row r="18" customFormat="false" ht="15" hidden="false" customHeight="false" outlineLevel="0" collapsed="false">
      <c r="A18" s="23" t="n">
        <v>2</v>
      </c>
      <c r="B18" s="23" t="s">
        <v>26</v>
      </c>
      <c r="C18" s="23" t="s">
        <v>18</v>
      </c>
      <c r="D18" s="24" t="n">
        <v>219085.56</v>
      </c>
      <c r="E18" s="24" t="n">
        <v>0</v>
      </c>
      <c r="F18" s="24" t="n">
        <v>0</v>
      </c>
      <c r="G18" s="24" t="n">
        <v>18257.13</v>
      </c>
      <c r="H18" s="24" t="n">
        <v>7966.75</v>
      </c>
      <c r="I18" s="24" t="n">
        <f aca="false">G18+H18</f>
        <v>26223.88</v>
      </c>
      <c r="J18" s="24" t="n">
        <f aca="false">D18-I18</f>
        <v>192861.68</v>
      </c>
      <c r="K18" s="25" t="s">
        <v>64</v>
      </c>
      <c r="L18" s="25" t="s">
        <v>65</v>
      </c>
    </row>
    <row r="19" customFormat="false" ht="15" hidden="false" customHeight="false" outlineLevel="0" collapsed="false">
      <c r="A19" s="23" t="n">
        <v>3</v>
      </c>
      <c r="B19" s="23" t="s">
        <v>34</v>
      </c>
      <c r="C19" s="23" t="s">
        <v>18</v>
      </c>
      <c r="D19" s="24" t="n">
        <v>9108.76</v>
      </c>
      <c r="E19" s="24" t="n">
        <v>0</v>
      </c>
      <c r="F19" s="24" t="n">
        <v>9108.76</v>
      </c>
      <c r="G19" s="24" t="n">
        <v>9108.76</v>
      </c>
      <c r="H19" s="24" t="n">
        <v>0</v>
      </c>
      <c r="I19" s="24" t="n">
        <f aca="false">G19+H19</f>
        <v>9108.76</v>
      </c>
      <c r="J19" s="24" t="n">
        <f aca="false">D19-I19</f>
        <v>0</v>
      </c>
      <c r="K19" s="25" t="s">
        <v>68</v>
      </c>
      <c r="L19" s="25" t="s">
        <v>69</v>
      </c>
    </row>
    <row r="20" customFormat="false" ht="15" hidden="false" customHeight="false" outlineLevel="0" collapsed="false">
      <c r="A20" s="23" t="n">
        <v>4</v>
      </c>
      <c r="B20" s="23" t="s">
        <v>26</v>
      </c>
      <c r="C20" s="23" t="s">
        <v>18</v>
      </c>
      <c r="D20" s="24" t="n">
        <v>23873.41</v>
      </c>
      <c r="E20" s="24" t="n">
        <v>0</v>
      </c>
      <c r="F20" s="24" t="n">
        <v>0</v>
      </c>
      <c r="G20" s="24" t="n">
        <v>1989.44</v>
      </c>
      <c r="H20" s="24" t="n">
        <v>868.12</v>
      </c>
      <c r="I20" s="24" t="n">
        <f aca="false">G20+H20</f>
        <v>2857.56</v>
      </c>
      <c r="J20" s="24" t="n">
        <f aca="false">D20-I20</f>
        <v>21015.85</v>
      </c>
      <c r="K20" s="25" t="s">
        <v>64</v>
      </c>
      <c r="L20" s="25" t="s">
        <v>65</v>
      </c>
    </row>
    <row r="21" customFormat="false" ht="15" hidden="false" customHeight="false" outlineLevel="0" collapsed="false">
      <c r="A21" s="23" t="n">
        <v>5</v>
      </c>
      <c r="B21" s="23" t="s">
        <v>35</v>
      </c>
      <c r="C21" s="23" t="s">
        <v>18</v>
      </c>
      <c r="D21" s="24" t="n">
        <v>17078.94</v>
      </c>
      <c r="E21" s="24" t="n">
        <v>0</v>
      </c>
      <c r="F21" s="24" t="n">
        <v>17078.94</v>
      </c>
      <c r="G21" s="24" t="n">
        <v>17078.94</v>
      </c>
      <c r="H21" s="24" t="n">
        <v>0</v>
      </c>
      <c r="I21" s="24" t="n">
        <f aca="false">G21+H21</f>
        <v>17078.94</v>
      </c>
      <c r="J21" s="24" t="n">
        <f aca="false">D21-I21</f>
        <v>0</v>
      </c>
      <c r="K21" s="25" t="s">
        <v>68</v>
      </c>
      <c r="L21" s="25" t="s">
        <v>69</v>
      </c>
    </row>
    <row r="22" customFormat="false" ht="15" hidden="false" customHeight="false" outlineLevel="0" collapsed="false">
      <c r="A22" s="23" t="n">
        <v>6</v>
      </c>
      <c r="B22" s="23" t="s">
        <v>32</v>
      </c>
      <c r="C22" s="23" t="s">
        <v>18</v>
      </c>
      <c r="D22" s="24" t="n">
        <v>44762.69</v>
      </c>
      <c r="E22" s="24" t="n">
        <v>0</v>
      </c>
      <c r="F22" s="24" t="n">
        <v>0</v>
      </c>
      <c r="G22" s="24" t="n">
        <v>3730.22</v>
      </c>
      <c r="H22" s="24" t="n">
        <v>1627.73</v>
      </c>
      <c r="I22" s="24" t="n">
        <f aca="false">G22+H22</f>
        <v>5357.95</v>
      </c>
      <c r="J22" s="24" t="n">
        <f aca="false">D22-I22</f>
        <v>39404.74</v>
      </c>
      <c r="K22" s="25" t="s">
        <v>64</v>
      </c>
      <c r="L22" s="25" t="s">
        <v>65</v>
      </c>
    </row>
    <row r="23" customFormat="false" ht="15" hidden="false" customHeight="false" outlineLevel="0" collapsed="false">
      <c r="A23" s="26"/>
      <c r="B23" s="27" t="s">
        <v>22</v>
      </c>
      <c r="C23" s="26"/>
      <c r="D23" s="28" t="n">
        <f aca="false">SUM(D17:D22)</f>
        <v>397500.19</v>
      </c>
      <c r="E23" s="28" t="n">
        <f aca="false">SUM(E17:E22)</f>
        <v>0</v>
      </c>
      <c r="F23" s="28" t="n">
        <f aca="false">SUM(F17:F22)</f>
        <v>109778.53</v>
      </c>
      <c r="G23" s="28" t="n">
        <f aca="false">SUM(G17:G22)</f>
        <v>133755.32</v>
      </c>
      <c r="H23" s="28" t="n">
        <f aca="false">SUM(H17:H22)</f>
        <v>10462.6</v>
      </c>
      <c r="I23" s="28" t="n">
        <f aca="false">SUM(I17:I22)</f>
        <v>144217.92</v>
      </c>
      <c r="J23" s="28" t="n">
        <f aca="false">SUM(J17:J22)</f>
        <v>253282.27</v>
      </c>
      <c r="K23" s="26"/>
      <c r="L23" s="26"/>
    </row>
    <row r="25" customFormat="false" ht="15" hidden="false" customHeight="false" outlineLevel="0" collapsed="false">
      <c r="B25" s="18" t="s">
        <v>72</v>
      </c>
    </row>
    <row r="26" customFormat="false" ht="15" hidden="false" customHeight="false" outlineLevel="0" collapsed="false">
      <c r="B26" s="5" t="s">
        <v>73</v>
      </c>
      <c r="D26" s="6" t="n">
        <f aca="false">I13</f>
        <v>131053.31</v>
      </c>
    </row>
    <row r="27" customFormat="false" ht="15" hidden="false" customHeight="false" outlineLevel="0" collapsed="false">
      <c r="B27" s="5" t="s">
        <v>74</v>
      </c>
      <c r="D27" s="6" t="n">
        <f aca="false">I23</f>
        <v>144217.92</v>
      </c>
    </row>
    <row r="28" customFormat="false" ht="15" hidden="false" customHeight="false" outlineLevel="0" collapsed="false">
      <c r="B28" s="11" t="s">
        <v>72</v>
      </c>
      <c r="D28" s="29" t="n">
        <f aca="false">D26-D27</f>
        <v>-13164.61</v>
      </c>
    </row>
    <row r="30" customFormat="false" ht="15" hidden="false" customHeight="false" outlineLevel="0" collapsed="false">
      <c r="A30" s="10" t="s">
        <v>75</v>
      </c>
    </row>
    <row r="31" customFormat="false" ht="15" hidden="false" customHeight="false" outlineLevel="0" collapsed="false">
      <c r="A31" s="21" t="s">
        <v>76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52</v>
      </c>
      <c r="B32" s="4" t="s">
        <v>53</v>
      </c>
      <c r="C32" s="4" t="s">
        <v>54</v>
      </c>
      <c r="D32" s="4" t="s">
        <v>55</v>
      </c>
      <c r="E32" s="4" t="s">
        <v>56</v>
      </c>
      <c r="F32" s="4" t="s">
        <v>57</v>
      </c>
      <c r="G32" s="4" t="s">
        <v>77</v>
      </c>
      <c r="H32" s="4" t="s">
        <v>78</v>
      </c>
      <c r="I32" s="4" t="s">
        <v>60</v>
      </c>
      <c r="J32" s="4" t="s">
        <v>61</v>
      </c>
      <c r="K32" s="4" t="s">
        <v>62</v>
      </c>
      <c r="L32" s="4" t="s">
        <v>63</v>
      </c>
    </row>
    <row r="33" customFormat="false" ht="15" hidden="false" customHeight="false" outlineLevel="0" collapsed="false">
      <c r="A33" s="23" t="n">
        <v>1</v>
      </c>
      <c r="B33" s="23" t="s">
        <v>19</v>
      </c>
      <c r="C33" s="23" t="s">
        <v>18</v>
      </c>
      <c r="D33" s="24" t="n">
        <v>302676.39</v>
      </c>
      <c r="E33" s="24" t="n">
        <v>0</v>
      </c>
      <c r="F33" s="24" t="n">
        <v>0</v>
      </c>
      <c r="G33" s="24" t="n">
        <v>25223.07</v>
      </c>
      <c r="H33" s="24" t="n">
        <v>11006.44</v>
      </c>
      <c r="I33" s="24" t="n">
        <f aca="false">G33+H33</f>
        <v>36229.51</v>
      </c>
      <c r="J33" s="24" t="n">
        <f aca="false">D33-I33</f>
        <v>266446.88</v>
      </c>
      <c r="K33" s="25" t="s">
        <v>64</v>
      </c>
      <c r="L33" s="25" t="s">
        <v>65</v>
      </c>
    </row>
    <row r="34" customFormat="false" ht="15" hidden="false" customHeight="false" outlineLevel="0" collapsed="false">
      <c r="A34" s="23" t="n">
        <v>2</v>
      </c>
      <c r="B34" s="23" t="s">
        <v>20</v>
      </c>
      <c r="C34" s="23" t="s">
        <v>18</v>
      </c>
      <c r="D34" s="24" t="n">
        <v>32982.17</v>
      </c>
      <c r="E34" s="24" t="n">
        <v>0</v>
      </c>
      <c r="F34" s="24" t="n">
        <v>32982.17</v>
      </c>
      <c r="G34" s="24" t="n">
        <v>32982.17</v>
      </c>
      <c r="H34" s="24" t="n">
        <v>0</v>
      </c>
      <c r="I34" s="24" t="n">
        <f aca="false">G34+H34</f>
        <v>32982.17</v>
      </c>
      <c r="J34" s="24" t="n">
        <f aca="false">D34-I34</f>
        <v>0</v>
      </c>
      <c r="K34" s="25" t="s">
        <v>66</v>
      </c>
      <c r="L34" s="25" t="s">
        <v>67</v>
      </c>
    </row>
    <row r="35" customFormat="false" ht="15" hidden="false" customHeight="false" outlineLevel="0" collapsed="false">
      <c r="A35" s="23" t="n">
        <v>3</v>
      </c>
      <c r="B35" s="23" t="s">
        <v>21</v>
      </c>
      <c r="C35" s="23" t="s">
        <v>18</v>
      </c>
      <c r="D35" s="24" t="n">
        <v>61841.63</v>
      </c>
      <c r="E35" s="24" t="n">
        <v>0</v>
      </c>
      <c r="F35" s="24" t="n">
        <v>61841.63</v>
      </c>
      <c r="G35" s="24" t="n">
        <v>61841.63</v>
      </c>
      <c r="H35" s="24" t="n">
        <v>0</v>
      </c>
      <c r="I35" s="24" t="n">
        <f aca="false">G35+H35</f>
        <v>61841.63</v>
      </c>
      <c r="J35" s="24" t="n">
        <f aca="false">D35-I35</f>
        <v>0</v>
      </c>
      <c r="K35" s="25" t="s">
        <v>68</v>
      </c>
      <c r="L35" s="25" t="s">
        <v>69</v>
      </c>
    </row>
    <row r="36" customFormat="false" ht="15" hidden="false" customHeight="false" outlineLevel="0" collapsed="false">
      <c r="A36" s="26"/>
      <c r="B36" s="27" t="s">
        <v>22</v>
      </c>
      <c r="C36" s="26"/>
      <c r="D36" s="28" t="n">
        <f aca="false">SUM(D33:D35)</f>
        <v>397500.19</v>
      </c>
      <c r="E36" s="28" t="n">
        <f aca="false">SUM(E33:E35)</f>
        <v>0</v>
      </c>
      <c r="F36" s="28" t="n">
        <f aca="false">SUM(F33:F35)</f>
        <v>94823.8</v>
      </c>
      <c r="G36" s="28" t="n">
        <f aca="false">SUM(G33:G35)</f>
        <v>120046.87</v>
      </c>
      <c r="H36" s="28" t="n">
        <f aca="false">SUM(H33:H35)</f>
        <v>11006.44</v>
      </c>
      <c r="I36" s="28" t="n">
        <f aca="false">SUM(I33:I35)</f>
        <v>131053.31</v>
      </c>
      <c r="J36" s="28" t="n">
        <f aca="false">SUM(J33:J35)</f>
        <v>266446.88</v>
      </c>
      <c r="K36" s="26"/>
      <c r="L36" s="26"/>
    </row>
    <row r="38" customFormat="false" ht="15" hidden="false" customHeight="false" outlineLevel="0" collapsed="false">
      <c r="A38" s="21" t="s">
        <v>79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52</v>
      </c>
      <c r="B39" s="4" t="s">
        <v>53</v>
      </c>
      <c r="C39" s="4" t="s">
        <v>54</v>
      </c>
      <c r="D39" s="4" t="s">
        <v>55</v>
      </c>
      <c r="E39" s="4" t="s">
        <v>56</v>
      </c>
      <c r="F39" s="4" t="s">
        <v>57</v>
      </c>
      <c r="G39" s="4" t="s">
        <v>77</v>
      </c>
      <c r="H39" s="4" t="s">
        <v>78</v>
      </c>
      <c r="I39" s="4" t="s">
        <v>60</v>
      </c>
      <c r="J39" s="4" t="s">
        <v>61</v>
      </c>
      <c r="K39" s="4" t="s">
        <v>62</v>
      </c>
      <c r="L39" s="4" t="s">
        <v>63</v>
      </c>
    </row>
    <row r="40" customFormat="false" ht="15" hidden="false" customHeight="false" outlineLevel="0" collapsed="false">
      <c r="A40" s="23" t="n">
        <v>1</v>
      </c>
      <c r="B40" s="23" t="s">
        <v>33</v>
      </c>
      <c r="C40" s="23" t="s">
        <v>18</v>
      </c>
      <c r="D40" s="24" t="n">
        <v>83590.83</v>
      </c>
      <c r="E40" s="24" t="n">
        <v>0</v>
      </c>
      <c r="F40" s="24" t="n">
        <v>83590.83</v>
      </c>
      <c r="G40" s="24" t="n">
        <v>83590.83</v>
      </c>
      <c r="H40" s="24" t="n">
        <v>0</v>
      </c>
      <c r="I40" s="24" t="n">
        <f aca="false">G40+H40</f>
        <v>83590.83</v>
      </c>
      <c r="J40" s="24" t="n">
        <f aca="false">D40-I40</f>
        <v>0</v>
      </c>
      <c r="K40" s="25" t="s">
        <v>68</v>
      </c>
      <c r="L40" s="25" t="s">
        <v>69</v>
      </c>
    </row>
    <row r="41" customFormat="false" ht="15" hidden="false" customHeight="false" outlineLevel="0" collapsed="false">
      <c r="A41" s="23" t="n">
        <v>2</v>
      </c>
      <c r="B41" s="23" t="s">
        <v>26</v>
      </c>
      <c r="C41" s="23" t="s">
        <v>18</v>
      </c>
      <c r="D41" s="24" t="n">
        <v>219085.56</v>
      </c>
      <c r="E41" s="24" t="n">
        <v>0</v>
      </c>
      <c r="F41" s="24" t="n">
        <v>0</v>
      </c>
      <c r="G41" s="24" t="n">
        <v>18257.13</v>
      </c>
      <c r="H41" s="24" t="n">
        <v>7966.75</v>
      </c>
      <c r="I41" s="24" t="n">
        <f aca="false">G41+H41</f>
        <v>26223.88</v>
      </c>
      <c r="J41" s="24" t="n">
        <f aca="false">D41-I41</f>
        <v>192861.68</v>
      </c>
      <c r="K41" s="25" t="s">
        <v>64</v>
      </c>
      <c r="L41" s="25" t="s">
        <v>65</v>
      </c>
    </row>
    <row r="42" customFormat="false" ht="15" hidden="false" customHeight="false" outlineLevel="0" collapsed="false">
      <c r="A42" s="23" t="n">
        <v>3</v>
      </c>
      <c r="B42" s="23" t="s">
        <v>34</v>
      </c>
      <c r="C42" s="23" t="s">
        <v>18</v>
      </c>
      <c r="D42" s="24" t="n">
        <v>9108.76</v>
      </c>
      <c r="E42" s="24" t="n">
        <v>0</v>
      </c>
      <c r="F42" s="24" t="n">
        <v>9108.76</v>
      </c>
      <c r="G42" s="24" t="n">
        <v>9108.76</v>
      </c>
      <c r="H42" s="24" t="n">
        <v>0</v>
      </c>
      <c r="I42" s="24" t="n">
        <f aca="false">G42+H42</f>
        <v>9108.76</v>
      </c>
      <c r="J42" s="24" t="n">
        <f aca="false">D42-I42</f>
        <v>0</v>
      </c>
      <c r="K42" s="25" t="s">
        <v>68</v>
      </c>
      <c r="L42" s="25" t="s">
        <v>69</v>
      </c>
    </row>
    <row r="43" customFormat="false" ht="15" hidden="false" customHeight="false" outlineLevel="0" collapsed="false">
      <c r="A43" s="23" t="n">
        <v>4</v>
      </c>
      <c r="B43" s="23" t="s">
        <v>26</v>
      </c>
      <c r="C43" s="23" t="s">
        <v>18</v>
      </c>
      <c r="D43" s="24" t="n">
        <v>23873.41</v>
      </c>
      <c r="E43" s="24" t="n">
        <v>0</v>
      </c>
      <c r="F43" s="24" t="n">
        <v>0</v>
      </c>
      <c r="G43" s="24" t="n">
        <v>1989.44</v>
      </c>
      <c r="H43" s="24" t="n">
        <v>868.12</v>
      </c>
      <c r="I43" s="24" t="n">
        <f aca="false">G43+H43</f>
        <v>2857.56</v>
      </c>
      <c r="J43" s="24" t="n">
        <f aca="false">D43-I43</f>
        <v>21015.85</v>
      </c>
      <c r="K43" s="25" t="s">
        <v>64</v>
      </c>
      <c r="L43" s="25" t="s">
        <v>65</v>
      </c>
    </row>
    <row r="44" customFormat="false" ht="15" hidden="false" customHeight="false" outlineLevel="0" collapsed="false">
      <c r="A44" s="23" t="n">
        <v>5</v>
      </c>
      <c r="B44" s="23" t="s">
        <v>35</v>
      </c>
      <c r="C44" s="23" t="s">
        <v>18</v>
      </c>
      <c r="D44" s="24" t="n">
        <v>17078.94</v>
      </c>
      <c r="E44" s="24" t="n">
        <v>0</v>
      </c>
      <c r="F44" s="24" t="n">
        <v>17078.94</v>
      </c>
      <c r="G44" s="24" t="n">
        <v>17078.94</v>
      </c>
      <c r="H44" s="24" t="n">
        <v>0</v>
      </c>
      <c r="I44" s="24" t="n">
        <f aca="false">G44+H44</f>
        <v>17078.94</v>
      </c>
      <c r="J44" s="24" t="n">
        <f aca="false">D44-I44</f>
        <v>0</v>
      </c>
      <c r="K44" s="25" t="s">
        <v>68</v>
      </c>
      <c r="L44" s="25" t="s">
        <v>69</v>
      </c>
    </row>
    <row r="45" customFormat="false" ht="15" hidden="false" customHeight="false" outlineLevel="0" collapsed="false">
      <c r="A45" s="23" t="n">
        <v>6</v>
      </c>
      <c r="B45" s="23" t="s">
        <v>32</v>
      </c>
      <c r="C45" s="23" t="s">
        <v>18</v>
      </c>
      <c r="D45" s="24" t="n">
        <v>44762.69</v>
      </c>
      <c r="E45" s="24" t="n">
        <v>0</v>
      </c>
      <c r="F45" s="24" t="n">
        <v>0</v>
      </c>
      <c r="G45" s="24" t="n">
        <v>3730.22</v>
      </c>
      <c r="H45" s="24" t="n">
        <v>1627.73</v>
      </c>
      <c r="I45" s="24" t="n">
        <f aca="false">G45+H45</f>
        <v>5357.95</v>
      </c>
      <c r="J45" s="24" t="n">
        <f aca="false">D45-I45</f>
        <v>39404.74</v>
      </c>
      <c r="K45" s="25" t="s">
        <v>64</v>
      </c>
      <c r="L45" s="25" t="s">
        <v>65</v>
      </c>
    </row>
    <row r="46" customFormat="false" ht="15" hidden="false" customHeight="false" outlineLevel="0" collapsed="false">
      <c r="A46" s="26"/>
      <c r="B46" s="27" t="s">
        <v>22</v>
      </c>
      <c r="C46" s="26"/>
      <c r="D46" s="28" t="n">
        <f aca="false">SUM(D40:D45)</f>
        <v>397500.19</v>
      </c>
      <c r="E46" s="28" t="n">
        <f aca="false">SUM(E40:E45)</f>
        <v>0</v>
      </c>
      <c r="F46" s="28" t="n">
        <f aca="false">SUM(F40:F45)</f>
        <v>109778.53</v>
      </c>
      <c r="G46" s="28" t="n">
        <f aca="false">SUM(G40:G45)</f>
        <v>133755.32</v>
      </c>
      <c r="H46" s="28" t="n">
        <f aca="false">SUM(H40:H45)</f>
        <v>10462.6</v>
      </c>
      <c r="I46" s="28" t="n">
        <f aca="false">SUM(I40:I45)</f>
        <v>144217.92</v>
      </c>
      <c r="J46" s="28" t="n">
        <f aca="false">SUM(J40:J45)</f>
        <v>253282.27</v>
      </c>
      <c r="K46" s="26"/>
      <c r="L46" s="26"/>
    </row>
    <row r="48" customFormat="false" ht="15" hidden="false" customHeight="false" outlineLevel="0" collapsed="false">
      <c r="B48" s="18" t="s">
        <v>80</v>
      </c>
    </row>
    <row r="49" customFormat="false" ht="15" hidden="false" customHeight="false" outlineLevel="0" collapsed="false">
      <c r="B49" s="5" t="s">
        <v>73</v>
      </c>
      <c r="D49" s="6" t="n">
        <f aca="false">I36</f>
        <v>131053.31</v>
      </c>
    </row>
    <row r="50" customFormat="false" ht="15" hidden="false" customHeight="false" outlineLevel="0" collapsed="false">
      <c r="B50" s="5" t="s">
        <v>74</v>
      </c>
      <c r="D50" s="6" t="n">
        <f aca="false">I46</f>
        <v>144217.92</v>
      </c>
    </row>
    <row r="51" customFormat="false" ht="15" hidden="false" customHeight="false" outlineLevel="0" collapsed="false">
      <c r="B51" s="11" t="s">
        <v>80</v>
      </c>
      <c r="D51" s="29" t="n">
        <f aca="false">D49-D50</f>
        <v>-13164.61</v>
      </c>
    </row>
    <row r="53" customFormat="false" ht="15" hidden="false" customHeight="false" outlineLevel="0" collapsed="false">
      <c r="A53" s="10" t="s">
        <v>81</v>
      </c>
    </row>
    <row r="54" customFormat="false" ht="15" hidden="false" customHeight="false" outlineLevel="0" collapsed="false">
      <c r="B54" s="11" t="s">
        <v>115</v>
      </c>
      <c r="D54" s="12" t="n">
        <f aca="false">D94</f>
        <v>397500.19</v>
      </c>
    </row>
    <row r="55" customFormat="false" ht="15" hidden="false" customHeight="false" outlineLevel="0" collapsed="false">
      <c r="B55" s="5" t="s">
        <v>116</v>
      </c>
      <c r="D55" s="6" t="n">
        <f aca="false">F94</f>
        <v>109778.53</v>
      </c>
    </row>
    <row r="56" customFormat="false" ht="15" hidden="false" customHeight="false" outlineLevel="0" collapsed="false">
      <c r="B56" s="30" t="s">
        <v>84</v>
      </c>
      <c r="D56" s="31" t="n">
        <f aca="false">F95</f>
        <v>0.276172270508852</v>
      </c>
    </row>
    <row r="57" customFormat="false" ht="15" hidden="false" customHeight="false" outlineLevel="0" collapsed="false">
      <c r="B57" s="5" t="s">
        <v>117</v>
      </c>
      <c r="D57" s="6" t="n">
        <f aca="false">H94</f>
        <v>287721.66</v>
      </c>
    </row>
    <row r="58" customFormat="false" ht="15" hidden="false" customHeight="false" outlineLevel="0" collapsed="false">
      <c r="B58" s="30" t="s">
        <v>84</v>
      </c>
      <c r="D58" s="31" t="n">
        <f aca="false">H95</f>
        <v>0.723827729491148</v>
      </c>
    </row>
    <row r="60" customFormat="false" ht="15" hidden="false" customHeight="false" outlineLevel="0" collapsed="false">
      <c r="A60" s="10" t="s">
        <v>87</v>
      </c>
    </row>
    <row r="61" customFormat="false" ht="15" hidden="false" customHeight="false" outlineLevel="0" collapsed="false">
      <c r="B61" s="4" t="s">
        <v>88</v>
      </c>
      <c r="D61" s="4" t="s">
        <v>55</v>
      </c>
      <c r="F61" s="4" t="s">
        <v>118</v>
      </c>
      <c r="H61" s="4" t="s">
        <v>91</v>
      </c>
    </row>
    <row r="62" customFormat="false" ht="15" hidden="false" customHeight="false" outlineLevel="0" collapsed="false">
      <c r="B62" s="32" t="s">
        <v>119</v>
      </c>
    </row>
    <row r="63" customFormat="false" ht="15" hidden="false" customHeight="false" outlineLevel="0" collapsed="false">
      <c r="B63" s="5" t="s">
        <v>120</v>
      </c>
      <c r="D63" s="33" t="n">
        <f aca="false">SUM(F63:H63)</f>
        <v>26445.19</v>
      </c>
      <c r="F63" s="33" t="n">
        <v>26445.19</v>
      </c>
    </row>
    <row r="64" customFormat="false" ht="15" hidden="false" customHeight="false" outlineLevel="0" collapsed="false">
      <c r="B64" s="5" t="s">
        <v>121</v>
      </c>
      <c r="D64" s="33" t="n">
        <f aca="false">SUM(F64:H64)</f>
        <v>4635.69</v>
      </c>
      <c r="F64" s="33" t="n">
        <v>4635.69</v>
      </c>
    </row>
    <row r="65" customFormat="false" ht="15" hidden="false" customHeight="false" outlineLevel="0" collapsed="false">
      <c r="B65" s="5" t="s">
        <v>151</v>
      </c>
      <c r="D65" s="33" t="n">
        <f aca="false">SUM(F65:H65)</f>
        <v>9118.09</v>
      </c>
      <c r="F65" s="33" t="n">
        <v>9118.09</v>
      </c>
    </row>
    <row r="66" customFormat="false" ht="15" hidden="false" customHeight="false" outlineLevel="0" collapsed="false">
      <c r="B66" s="5" t="s">
        <v>122</v>
      </c>
      <c r="D66" s="33" t="n">
        <f aca="false">SUM(F66:H66)</f>
        <v>17166.07</v>
      </c>
      <c r="F66" s="33" t="n">
        <v>17166.07</v>
      </c>
    </row>
    <row r="67" customFormat="false" ht="15" hidden="false" customHeight="false" outlineLevel="0" collapsed="false">
      <c r="B67" s="5" t="s">
        <v>123</v>
      </c>
      <c r="D67" s="33" t="n">
        <f aca="false">SUM(F67:H67)</f>
        <v>2842.52</v>
      </c>
      <c r="F67" s="33" t="n">
        <v>2842.52</v>
      </c>
    </row>
    <row r="68" customFormat="false" ht="15" hidden="false" customHeight="false" outlineLevel="0" collapsed="false">
      <c r="B68" s="5" t="s">
        <v>124</v>
      </c>
      <c r="D68" s="33" t="n">
        <f aca="false">SUM(F68:H68)</f>
        <v>2418.44</v>
      </c>
      <c r="F68" s="33" t="n">
        <v>2418.44</v>
      </c>
    </row>
    <row r="69" customFormat="false" ht="15" hidden="false" customHeight="false" outlineLevel="0" collapsed="false">
      <c r="B69" s="5" t="s">
        <v>125</v>
      </c>
      <c r="D69" s="33" t="n">
        <f aca="false">SUM(F69:H69)</f>
        <v>718.3</v>
      </c>
      <c r="F69" s="33" t="n">
        <v>718.3</v>
      </c>
    </row>
    <row r="70" customFormat="false" ht="15" hidden="false" customHeight="false" outlineLevel="0" collapsed="false">
      <c r="B70" s="5" t="s">
        <v>126</v>
      </c>
      <c r="D70" s="33" t="n">
        <f aca="false">SUM(F70:H70)</f>
        <v>705.03</v>
      </c>
      <c r="F70" s="33" t="n">
        <v>705.03</v>
      </c>
    </row>
    <row r="71" customFormat="false" ht="15" hidden="false" customHeight="false" outlineLevel="0" collapsed="false">
      <c r="B71" s="5" t="s">
        <v>127</v>
      </c>
      <c r="D71" s="33" t="n">
        <f aca="false">SUM(F71:H71)</f>
        <v>12363.8</v>
      </c>
      <c r="F71" s="33" t="n">
        <v>12363.8</v>
      </c>
    </row>
    <row r="72" customFormat="false" ht="15" hidden="false" customHeight="false" outlineLevel="0" collapsed="false">
      <c r="B72" s="5" t="s">
        <v>128</v>
      </c>
      <c r="D72" s="33" t="n">
        <f aca="false">SUM(F72:H72)</f>
        <v>2600.58</v>
      </c>
      <c r="F72" s="33" t="n">
        <v>2600.58</v>
      </c>
    </row>
    <row r="73" customFormat="false" ht="15" hidden="false" customHeight="false" outlineLevel="0" collapsed="false">
      <c r="B73" s="5" t="s">
        <v>129</v>
      </c>
      <c r="D73" s="33" t="n">
        <f aca="false">SUM(F73:H73)</f>
        <v>13431.92</v>
      </c>
      <c r="F73" s="33" t="n">
        <v>13431.92</v>
      </c>
    </row>
    <row r="74" customFormat="false" ht="15" hidden="false" customHeight="false" outlineLevel="0" collapsed="false">
      <c r="B74" s="5" t="s">
        <v>130</v>
      </c>
      <c r="D74" s="33" t="n">
        <f aca="false">SUM(F74:H74)</f>
        <v>1140.5</v>
      </c>
      <c r="F74" s="33" t="n">
        <v>1140.5</v>
      </c>
    </row>
    <row r="75" customFormat="false" ht="15" hidden="false" customHeight="false" outlineLevel="0" collapsed="false">
      <c r="B75" s="5" t="s">
        <v>131</v>
      </c>
      <c r="D75" s="33" t="n">
        <f aca="false">SUM(F75:H75)</f>
        <v>1360.86</v>
      </c>
      <c r="F75" s="33" t="n">
        <v>1360.86</v>
      </c>
    </row>
    <row r="76" customFormat="false" ht="15" hidden="false" customHeight="false" outlineLevel="0" collapsed="false">
      <c r="B76" s="5" t="s">
        <v>132</v>
      </c>
      <c r="D76" s="33" t="n">
        <f aca="false">SUM(F76:H76)</f>
        <v>14831.54</v>
      </c>
      <c r="F76" s="33" t="n">
        <v>14831.54</v>
      </c>
    </row>
    <row r="77" customFormat="false" ht="15" hidden="false" customHeight="false" outlineLevel="0" collapsed="false">
      <c r="B77" s="32" t="s">
        <v>133</v>
      </c>
    </row>
    <row r="78" customFormat="false" ht="15" hidden="false" customHeight="false" outlineLevel="0" collapsed="false">
      <c r="B78" s="5" t="s">
        <v>134</v>
      </c>
      <c r="D78" s="33" t="n">
        <f aca="false">SUM(F78:H78)</f>
        <v>19166.81</v>
      </c>
      <c r="H78" s="33" t="n">
        <v>19166.81</v>
      </c>
    </row>
    <row r="79" customFormat="false" ht="15" hidden="false" customHeight="false" outlineLevel="0" collapsed="false">
      <c r="B79" s="5" t="s">
        <v>135</v>
      </c>
      <c r="D79" s="33" t="n">
        <f aca="false">SUM(F79:H79)</f>
        <v>26894.18</v>
      </c>
      <c r="H79" s="33" t="n">
        <v>26894.18</v>
      </c>
    </row>
    <row r="80" customFormat="false" ht="15" hidden="false" customHeight="false" outlineLevel="0" collapsed="false">
      <c r="B80" s="5" t="s">
        <v>136</v>
      </c>
      <c r="D80" s="33" t="n">
        <f aca="false">SUM(F80:H80)</f>
        <v>19273.71</v>
      </c>
      <c r="H80" s="33" t="n">
        <v>19273.71</v>
      </c>
    </row>
    <row r="81" customFormat="false" ht="15" hidden="false" customHeight="false" outlineLevel="0" collapsed="false">
      <c r="B81" s="5" t="s">
        <v>137</v>
      </c>
      <c r="D81" s="33" t="n">
        <f aca="false">SUM(F81:H81)</f>
        <v>24003.39</v>
      </c>
      <c r="H81" s="33" t="n">
        <v>24003.39</v>
      </c>
    </row>
    <row r="82" customFormat="false" ht="15" hidden="false" customHeight="false" outlineLevel="0" collapsed="false">
      <c r="B82" s="5" t="s">
        <v>138</v>
      </c>
      <c r="D82" s="33" t="n">
        <f aca="false">SUM(F82:H82)</f>
        <v>23233.4</v>
      </c>
      <c r="H82" s="33" t="n">
        <v>23233.4</v>
      </c>
    </row>
    <row r="83" customFormat="false" ht="15" hidden="false" customHeight="false" outlineLevel="0" collapsed="false">
      <c r="B83" s="5" t="s">
        <v>139</v>
      </c>
      <c r="D83" s="33" t="n">
        <f aca="false">SUM(F83:H83)</f>
        <v>8832.92</v>
      </c>
      <c r="H83" s="33" t="n">
        <v>8832.92</v>
      </c>
    </row>
    <row r="84" customFormat="false" ht="15" hidden="false" customHeight="false" outlineLevel="0" collapsed="false">
      <c r="B84" s="5" t="s">
        <v>140</v>
      </c>
      <c r="D84" s="33" t="n">
        <f aca="false">SUM(F84:H84)</f>
        <v>17315.31</v>
      </c>
      <c r="H84" s="33" t="n">
        <v>17315.31</v>
      </c>
    </row>
    <row r="85" customFormat="false" ht="15" hidden="false" customHeight="false" outlineLevel="0" collapsed="false">
      <c r="B85" s="5" t="s">
        <v>141</v>
      </c>
      <c r="D85" s="33" t="n">
        <f aca="false">SUM(F85:H85)</f>
        <v>10659.46</v>
      </c>
      <c r="H85" s="33" t="n">
        <v>10659.46</v>
      </c>
    </row>
    <row r="86" customFormat="false" ht="15" hidden="false" customHeight="false" outlineLevel="0" collapsed="false">
      <c r="B86" s="5" t="s">
        <v>142</v>
      </c>
      <c r="D86" s="33" t="n">
        <f aca="false">SUM(F86:H86)</f>
        <v>12873.87</v>
      </c>
      <c r="H86" s="33" t="n">
        <v>12873.87</v>
      </c>
    </row>
    <row r="87" customFormat="false" ht="15" hidden="false" customHeight="false" outlineLevel="0" collapsed="false">
      <c r="B87" s="5" t="s">
        <v>143</v>
      </c>
      <c r="D87" s="33" t="n">
        <f aca="false">SUM(F87:H87)</f>
        <v>29302.11</v>
      </c>
      <c r="H87" s="33" t="n">
        <v>29302.11</v>
      </c>
    </row>
    <row r="88" customFormat="false" ht="15" hidden="false" customHeight="false" outlineLevel="0" collapsed="false">
      <c r="B88" s="5" t="s">
        <v>144</v>
      </c>
      <c r="D88" s="33" t="n">
        <f aca="false">SUM(F88:H88)</f>
        <v>11976.41</v>
      </c>
      <c r="H88" s="33" t="n">
        <v>11976.41</v>
      </c>
    </row>
    <row r="89" customFormat="false" ht="15" hidden="false" customHeight="false" outlineLevel="0" collapsed="false">
      <c r="B89" s="5" t="s">
        <v>145</v>
      </c>
      <c r="D89" s="33" t="n">
        <f aca="false">SUM(F89:H89)</f>
        <v>1737.32</v>
      </c>
      <c r="H89" s="33" t="n">
        <v>1737.32</v>
      </c>
    </row>
    <row r="90" customFormat="false" ht="15" hidden="false" customHeight="false" outlineLevel="0" collapsed="false">
      <c r="B90" s="5" t="s">
        <v>146</v>
      </c>
      <c r="D90" s="33" t="n">
        <f aca="false">SUM(F90:H90)</f>
        <v>63061.18</v>
      </c>
      <c r="H90" s="33" t="n">
        <v>63061.18</v>
      </c>
    </row>
    <row r="91" customFormat="false" ht="15" hidden="false" customHeight="false" outlineLevel="0" collapsed="false">
      <c r="B91" s="5" t="s">
        <v>147</v>
      </c>
      <c r="D91" s="33" t="n">
        <f aca="false">SUM(F91:H91)</f>
        <v>10815.9</v>
      </c>
      <c r="H91" s="33" t="n">
        <v>10815.9</v>
      </c>
    </row>
    <row r="92" customFormat="false" ht="15" hidden="false" customHeight="false" outlineLevel="0" collapsed="false">
      <c r="B92" s="5" t="s">
        <v>148</v>
      </c>
      <c r="D92" s="33" t="n">
        <f aca="false">SUM(F92:H92)</f>
        <v>5272.42</v>
      </c>
      <c r="H92" s="33" t="n">
        <v>5272.42</v>
      </c>
    </row>
    <row r="93" customFormat="false" ht="15" hidden="false" customHeight="false" outlineLevel="0" collapsed="false">
      <c r="B93" s="5" t="s">
        <v>149</v>
      </c>
      <c r="D93" s="33" t="n">
        <f aca="false">SUM(F93:H93)</f>
        <v>3303.27</v>
      </c>
      <c r="H93" s="33" t="n">
        <v>3303.27</v>
      </c>
    </row>
    <row r="94" customFormat="false" ht="15" hidden="false" customHeight="false" outlineLevel="0" collapsed="false">
      <c r="B94" s="11" t="s">
        <v>115</v>
      </c>
      <c r="D94" s="34" t="n">
        <f aca="false">SUM(D62:D93)</f>
        <v>397500.19</v>
      </c>
      <c r="F94" s="34" t="n">
        <f aca="false">SUM(F62:F93)</f>
        <v>109778.53</v>
      </c>
      <c r="H94" s="34" t="n">
        <f aca="false">SUM(H62:H93)</f>
        <v>287721.66</v>
      </c>
    </row>
    <row r="95" customFormat="false" ht="15" hidden="false" customHeight="false" outlineLevel="0" collapsed="false">
      <c r="B95" s="30" t="s">
        <v>84</v>
      </c>
      <c r="F95" s="31" t="n">
        <f aca="false">F94/D94</f>
        <v>0.276172270508852</v>
      </c>
      <c r="H95" s="31" t="n">
        <f aca="false">H94/D94</f>
        <v>0.723827729491148</v>
      </c>
    </row>
    <row r="97" customFormat="false" ht="15" hidden="false" customHeight="false" outlineLevel="0" collapsed="false">
      <c r="A97" s="10" t="s">
        <v>110</v>
      </c>
    </row>
    <row r="98" customFormat="false" ht="15" hidden="false" customHeight="false" outlineLevel="0" collapsed="false">
      <c r="B98" s="4" t="s">
        <v>111</v>
      </c>
      <c r="D98" s="4" t="s">
        <v>55</v>
      </c>
      <c r="F98" s="4" t="s">
        <v>118</v>
      </c>
      <c r="H98" s="4" t="s">
        <v>91</v>
      </c>
    </row>
    <row r="99" customFormat="false" ht="15" hidden="false" customHeight="false" outlineLevel="0" collapsed="false">
      <c r="B99" s="5" t="str">
        <f aca="false">'Bldg 9'!B17</f>
        <v>2-Building-5yr</v>
      </c>
      <c r="D99" s="33" t="n">
        <f aca="false">SUM(F99:H99)</f>
        <v>83590.83</v>
      </c>
      <c r="F99" s="33" t="n">
        <f aca="false">'Bldg 9'!D17</f>
        <v>83590.83</v>
      </c>
    </row>
    <row r="100" customFormat="false" ht="15" hidden="false" customHeight="false" outlineLevel="0" collapsed="false">
      <c r="B100" s="5" t="str">
        <f aca="false">'Bldg 9'!B18</f>
        <v>2-Building-27.5yr</v>
      </c>
      <c r="D100" s="33" t="n">
        <f aca="false">SUM(F100:H100)</f>
        <v>219085.56</v>
      </c>
      <c r="H100" s="33" t="n">
        <f aca="false">'Bldg 9'!D18</f>
        <v>219085.56</v>
      </c>
    </row>
    <row r="101" customFormat="false" ht="15" hidden="false" customHeight="false" outlineLevel="0" collapsed="false">
      <c r="B101" s="5" t="str">
        <f aca="false">'Bldg 9'!B19</f>
        <v>3-Land Improvements-5yr</v>
      </c>
      <c r="D101" s="33" t="n">
        <f aca="false">SUM(F101:H101)</f>
        <v>9108.76</v>
      </c>
      <c r="F101" s="33" t="n">
        <f aca="false">'Bldg 9'!D19</f>
        <v>9108.76</v>
      </c>
    </row>
    <row r="102" customFormat="false" ht="15" hidden="false" customHeight="false" outlineLevel="0" collapsed="false">
      <c r="B102" s="5" t="str">
        <f aca="false">'Bldg 9'!B20</f>
        <v>2-Building-27.5yr</v>
      </c>
      <c r="D102" s="33" t="n">
        <f aca="false">SUM(F102:H102)</f>
        <v>23873.41</v>
      </c>
      <c r="H102" s="33" t="n">
        <f aca="false">'Bldg 9'!D20</f>
        <v>23873.41</v>
      </c>
    </row>
    <row r="103" customFormat="false" ht="15" hidden="false" customHeight="false" outlineLevel="0" collapsed="false">
      <c r="B103" s="5" t="str">
        <f aca="false">'Bldg 9'!B21</f>
        <v>4-Equipment-5yr</v>
      </c>
      <c r="D103" s="33" t="n">
        <f aca="false">SUM(F103:H103)</f>
        <v>17078.94</v>
      </c>
      <c r="F103" s="33" t="n">
        <f aca="false">'Bldg 9'!D21</f>
        <v>17078.94</v>
      </c>
    </row>
    <row r="104" customFormat="false" ht="15" hidden="false" customHeight="false" outlineLevel="0" collapsed="false">
      <c r="B104" s="5" t="str">
        <f aca="false">'Bldg 9'!B22</f>
        <v>4-Equipment-27.5yr</v>
      </c>
      <c r="D104" s="33" t="n">
        <f aca="false">SUM(F104:H104)</f>
        <v>44762.69</v>
      </c>
      <c r="H104" s="33" t="n">
        <f aca="false">'Bldg 9'!D22</f>
        <v>44762.69</v>
      </c>
    </row>
    <row r="105" customFormat="false" ht="15" hidden="false" customHeight="false" outlineLevel="0" collapsed="false">
      <c r="B105" s="11" t="s">
        <v>112</v>
      </c>
      <c r="D105" s="34" t="n">
        <f aca="false">SUM(D99:D104)</f>
        <v>397500.19</v>
      </c>
      <c r="F105" s="34" t="n">
        <f aca="false">SUM(F99:F104)</f>
        <v>109778.53</v>
      </c>
      <c r="H105" s="34" t="n">
        <f aca="false">SUM(H99:H104)</f>
        <v>287721.66</v>
      </c>
    </row>
    <row r="106" customFormat="false" ht="15" hidden="false" customHeight="false" outlineLevel="0" collapsed="false">
      <c r="B106" s="16" t="s">
        <v>113</v>
      </c>
      <c r="D106" s="17" t="n">
        <f aca="false">D105-D94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159</v>
      </c>
    </row>
    <row r="5" customFormat="false" ht="15" hidden="false" customHeight="false" outlineLevel="0" collapsed="false">
      <c r="A5" s="16" t="s">
        <v>49</v>
      </c>
    </row>
    <row r="7" customFormat="false" ht="15" hidden="false" customHeight="false" outlineLevel="0" collapsed="false">
      <c r="A7" s="10" t="s">
        <v>50</v>
      </c>
    </row>
    <row r="8" customFormat="false" ht="15" hidden="false" customHeight="false" outlineLevel="0" collapsed="false">
      <c r="A8" s="21" t="s">
        <v>51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18</v>
      </c>
      <c r="D10" s="24" t="n">
        <v>119699.06</v>
      </c>
      <c r="E10" s="24" t="n">
        <v>0</v>
      </c>
      <c r="F10" s="24" t="n">
        <v>0</v>
      </c>
      <c r="G10" s="24" t="n">
        <v>9974.94</v>
      </c>
      <c r="H10" s="24" t="n">
        <v>4352.7</v>
      </c>
      <c r="I10" s="24" t="n">
        <f aca="false">G10+H10</f>
        <v>14327.64</v>
      </c>
      <c r="J10" s="24" t="n">
        <f aca="false">D10-I10</f>
        <v>105371.42</v>
      </c>
      <c r="K10" s="25" t="s">
        <v>64</v>
      </c>
      <c r="L10" s="25" t="s">
        <v>65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18</v>
      </c>
      <c r="D11" s="24" t="n">
        <v>13043.42</v>
      </c>
      <c r="E11" s="24" t="n">
        <v>0</v>
      </c>
      <c r="F11" s="24" t="n">
        <v>13043.42</v>
      </c>
      <c r="G11" s="24" t="n">
        <v>13043.42</v>
      </c>
      <c r="H11" s="24" t="n">
        <v>0</v>
      </c>
      <c r="I11" s="24" t="n">
        <f aca="false">G11+H11</f>
        <v>13043.42</v>
      </c>
      <c r="J11" s="24" t="n">
        <f aca="false">D11-I11</f>
        <v>0</v>
      </c>
      <c r="K11" s="25" t="s">
        <v>66</v>
      </c>
      <c r="L11" s="25" t="s">
        <v>67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18</v>
      </c>
      <c r="D12" s="24" t="n">
        <v>24456.43</v>
      </c>
      <c r="E12" s="24" t="n">
        <v>0</v>
      </c>
      <c r="F12" s="24" t="n">
        <v>24456.43</v>
      </c>
      <c r="G12" s="24" t="n">
        <v>24456.43</v>
      </c>
      <c r="H12" s="24" t="n">
        <v>0</v>
      </c>
      <c r="I12" s="24" t="n">
        <f aca="false">G12+H12</f>
        <v>24456.43</v>
      </c>
      <c r="J12" s="24" t="n">
        <f aca="false">D12-I12</f>
        <v>0</v>
      </c>
      <c r="K12" s="25" t="s">
        <v>68</v>
      </c>
      <c r="L12" s="25" t="s">
        <v>69</v>
      </c>
    </row>
    <row r="13" customFormat="false" ht="15" hidden="false" customHeight="false" outlineLevel="0" collapsed="false">
      <c r="A13" s="26"/>
      <c r="B13" s="27" t="s">
        <v>22</v>
      </c>
      <c r="C13" s="26"/>
      <c r="D13" s="28" t="n">
        <f aca="false">SUM(D10:D12)</f>
        <v>157198.91</v>
      </c>
      <c r="E13" s="28" t="n">
        <f aca="false">SUM(E10:E12)</f>
        <v>0</v>
      </c>
      <c r="F13" s="28" t="n">
        <f aca="false">SUM(F10:F12)</f>
        <v>37499.85</v>
      </c>
      <c r="G13" s="28" t="n">
        <f aca="false">SUM(G10:G12)</f>
        <v>47474.79</v>
      </c>
      <c r="H13" s="28" t="n">
        <f aca="false">SUM(H10:H12)</f>
        <v>4352.7</v>
      </c>
      <c r="I13" s="28" t="n">
        <f aca="false">SUM(I10:I12)</f>
        <v>51827.49</v>
      </c>
      <c r="J13" s="28" t="n">
        <f aca="false">SUM(J10:J12)</f>
        <v>105371.42</v>
      </c>
      <c r="K13" s="26"/>
      <c r="L13" s="26"/>
    </row>
    <row r="15" customFormat="false" ht="15" hidden="false" customHeight="false" outlineLevel="0" collapsed="false">
      <c r="A15" s="21" t="s">
        <v>70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52</v>
      </c>
      <c r="B16" s="4" t="s">
        <v>53</v>
      </c>
      <c r="C16" s="4" t="s">
        <v>54</v>
      </c>
      <c r="D16" s="4" t="s">
        <v>55</v>
      </c>
      <c r="E16" s="4" t="s">
        <v>56</v>
      </c>
      <c r="F16" s="4" t="s">
        <v>57</v>
      </c>
      <c r="G16" s="4" t="s">
        <v>58</v>
      </c>
      <c r="H16" s="4" t="s">
        <v>59</v>
      </c>
      <c r="I16" s="4" t="s">
        <v>60</v>
      </c>
      <c r="J16" s="4" t="s">
        <v>61</v>
      </c>
      <c r="K16" s="4" t="s">
        <v>62</v>
      </c>
      <c r="L16" s="4" t="s">
        <v>63</v>
      </c>
    </row>
    <row r="17" customFormat="false" ht="15" hidden="false" customHeight="false" outlineLevel="0" collapsed="false">
      <c r="A17" s="23" t="n">
        <v>1</v>
      </c>
      <c r="B17" s="23" t="s">
        <v>33</v>
      </c>
      <c r="C17" s="23" t="s">
        <v>18</v>
      </c>
      <c r="D17" s="24" t="n">
        <v>18498.54</v>
      </c>
      <c r="E17" s="24" t="n">
        <v>0</v>
      </c>
      <c r="F17" s="24" t="n">
        <v>18498.54</v>
      </c>
      <c r="G17" s="24" t="n">
        <v>18498.54</v>
      </c>
      <c r="H17" s="24" t="n">
        <v>0</v>
      </c>
      <c r="I17" s="24" t="n">
        <f aca="false">G17+H17</f>
        <v>18498.54</v>
      </c>
      <c r="J17" s="24" t="n">
        <f aca="false">D17-I17</f>
        <v>0</v>
      </c>
      <c r="K17" s="25" t="s">
        <v>68</v>
      </c>
      <c r="L17" s="25" t="s">
        <v>69</v>
      </c>
    </row>
    <row r="18" customFormat="false" ht="15" hidden="false" customHeight="false" outlineLevel="0" collapsed="false">
      <c r="A18" s="23" t="n">
        <v>2</v>
      </c>
      <c r="B18" s="23" t="s">
        <v>26</v>
      </c>
      <c r="C18" s="23" t="s">
        <v>18</v>
      </c>
      <c r="D18" s="24" t="n">
        <v>101200.52</v>
      </c>
      <c r="E18" s="24" t="n">
        <v>0</v>
      </c>
      <c r="F18" s="24" t="n">
        <v>0</v>
      </c>
      <c r="G18" s="24" t="n">
        <v>8433.38</v>
      </c>
      <c r="H18" s="24" t="n">
        <v>3680.02</v>
      </c>
      <c r="I18" s="24" t="n">
        <f aca="false">G18+H18</f>
        <v>12113.4</v>
      </c>
      <c r="J18" s="24" t="n">
        <f aca="false">D18-I18</f>
        <v>89087.12</v>
      </c>
      <c r="K18" s="25" t="s">
        <v>64</v>
      </c>
      <c r="L18" s="25" t="s">
        <v>65</v>
      </c>
    </row>
    <row r="19" customFormat="false" ht="15" hidden="false" customHeight="false" outlineLevel="0" collapsed="false">
      <c r="A19" s="23" t="n">
        <v>3</v>
      </c>
      <c r="B19" s="23" t="s">
        <v>34</v>
      </c>
      <c r="C19" s="23" t="s">
        <v>18</v>
      </c>
      <c r="D19" s="24" t="n">
        <v>2015.76</v>
      </c>
      <c r="E19" s="24" t="n">
        <v>0</v>
      </c>
      <c r="F19" s="24" t="n">
        <v>2015.76</v>
      </c>
      <c r="G19" s="24" t="n">
        <v>2015.76</v>
      </c>
      <c r="H19" s="24" t="n">
        <v>0</v>
      </c>
      <c r="I19" s="24" t="n">
        <f aca="false">G19+H19</f>
        <v>2015.76</v>
      </c>
      <c r="J19" s="24" t="n">
        <f aca="false">D19-I19</f>
        <v>0</v>
      </c>
      <c r="K19" s="25" t="s">
        <v>68</v>
      </c>
      <c r="L19" s="25" t="s">
        <v>69</v>
      </c>
    </row>
    <row r="20" customFormat="false" ht="15" hidden="false" customHeight="false" outlineLevel="0" collapsed="false">
      <c r="A20" s="23" t="n">
        <v>4</v>
      </c>
      <c r="B20" s="23" t="s">
        <v>26</v>
      </c>
      <c r="C20" s="23" t="s">
        <v>18</v>
      </c>
      <c r="D20" s="24" t="n">
        <v>11027.66</v>
      </c>
      <c r="E20" s="24" t="n">
        <v>0</v>
      </c>
      <c r="F20" s="24" t="n">
        <v>0</v>
      </c>
      <c r="G20" s="24" t="n">
        <v>918.98</v>
      </c>
      <c r="H20" s="24" t="n">
        <v>401.01</v>
      </c>
      <c r="I20" s="24" t="n">
        <f aca="false">G20+H20</f>
        <v>1319.99</v>
      </c>
      <c r="J20" s="24" t="n">
        <f aca="false">D20-I20</f>
        <v>9707.67</v>
      </c>
      <c r="K20" s="25" t="s">
        <v>64</v>
      </c>
      <c r="L20" s="25" t="s">
        <v>65</v>
      </c>
    </row>
    <row r="21" customFormat="false" ht="15" hidden="false" customHeight="false" outlineLevel="0" collapsed="false">
      <c r="A21" s="23" t="n">
        <v>5</v>
      </c>
      <c r="B21" s="23" t="s">
        <v>35</v>
      </c>
      <c r="C21" s="23" t="s">
        <v>18</v>
      </c>
      <c r="D21" s="24" t="n">
        <v>3779.55</v>
      </c>
      <c r="E21" s="24" t="n">
        <v>0</v>
      </c>
      <c r="F21" s="24" t="n">
        <v>3779.55</v>
      </c>
      <c r="G21" s="24" t="n">
        <v>3779.55</v>
      </c>
      <c r="H21" s="24" t="n">
        <v>0</v>
      </c>
      <c r="I21" s="24" t="n">
        <f aca="false">G21+H21</f>
        <v>3779.55</v>
      </c>
      <c r="J21" s="24" t="n">
        <f aca="false">D21-I21</f>
        <v>0</v>
      </c>
      <c r="K21" s="25" t="s">
        <v>68</v>
      </c>
      <c r="L21" s="25" t="s">
        <v>69</v>
      </c>
    </row>
    <row r="22" customFormat="false" ht="15" hidden="false" customHeight="false" outlineLevel="0" collapsed="false">
      <c r="A22" s="23" t="n">
        <v>6</v>
      </c>
      <c r="B22" s="23" t="s">
        <v>32</v>
      </c>
      <c r="C22" s="23" t="s">
        <v>18</v>
      </c>
      <c r="D22" s="24" t="n">
        <v>20676.88</v>
      </c>
      <c r="E22" s="24" t="n">
        <v>0</v>
      </c>
      <c r="F22" s="24" t="n">
        <v>0</v>
      </c>
      <c r="G22" s="24" t="n">
        <v>1723.08</v>
      </c>
      <c r="H22" s="24" t="n">
        <v>751.89</v>
      </c>
      <c r="I22" s="24" t="n">
        <f aca="false">G22+H22</f>
        <v>2474.97</v>
      </c>
      <c r="J22" s="24" t="n">
        <f aca="false">D22-I22</f>
        <v>18201.91</v>
      </c>
      <c r="K22" s="25" t="s">
        <v>64</v>
      </c>
      <c r="L22" s="25" t="s">
        <v>65</v>
      </c>
    </row>
    <row r="23" customFormat="false" ht="15" hidden="false" customHeight="false" outlineLevel="0" collapsed="false">
      <c r="A23" s="26"/>
      <c r="B23" s="27" t="s">
        <v>22</v>
      </c>
      <c r="C23" s="26"/>
      <c r="D23" s="28" t="n">
        <f aca="false">SUM(D17:D22)</f>
        <v>157198.91</v>
      </c>
      <c r="E23" s="28" t="n">
        <f aca="false">SUM(E17:E22)</f>
        <v>0</v>
      </c>
      <c r="F23" s="28" t="n">
        <f aca="false">SUM(F17:F22)</f>
        <v>24293.85</v>
      </c>
      <c r="G23" s="28" t="n">
        <f aca="false">SUM(G17:G22)</f>
        <v>35369.29</v>
      </c>
      <c r="H23" s="28" t="n">
        <f aca="false">SUM(H17:H22)</f>
        <v>4832.92</v>
      </c>
      <c r="I23" s="28" t="n">
        <f aca="false">SUM(I17:I22)</f>
        <v>40202.21</v>
      </c>
      <c r="J23" s="28" t="n">
        <f aca="false">SUM(J17:J22)</f>
        <v>116996.7</v>
      </c>
      <c r="K23" s="26"/>
      <c r="L23" s="26"/>
    </row>
    <row r="25" customFormat="false" ht="15" hidden="false" customHeight="false" outlineLevel="0" collapsed="false">
      <c r="B25" s="18" t="s">
        <v>72</v>
      </c>
    </row>
    <row r="26" customFormat="false" ht="15" hidden="false" customHeight="false" outlineLevel="0" collapsed="false">
      <c r="B26" s="5" t="s">
        <v>73</v>
      </c>
      <c r="D26" s="6" t="n">
        <f aca="false">I13</f>
        <v>51827.49</v>
      </c>
    </row>
    <row r="27" customFormat="false" ht="15" hidden="false" customHeight="false" outlineLevel="0" collapsed="false">
      <c r="B27" s="5" t="s">
        <v>74</v>
      </c>
      <c r="D27" s="6" t="n">
        <f aca="false">I23</f>
        <v>40202.21</v>
      </c>
    </row>
    <row r="28" customFormat="false" ht="15" hidden="false" customHeight="false" outlineLevel="0" collapsed="false">
      <c r="B28" s="11" t="s">
        <v>72</v>
      </c>
      <c r="D28" s="29" t="n">
        <f aca="false">D26-D27</f>
        <v>11625.28</v>
      </c>
    </row>
    <row r="30" customFormat="false" ht="15" hidden="false" customHeight="false" outlineLevel="0" collapsed="false">
      <c r="A30" s="10" t="s">
        <v>75</v>
      </c>
    </row>
    <row r="31" customFormat="false" ht="15" hidden="false" customHeight="false" outlineLevel="0" collapsed="false">
      <c r="A31" s="21" t="s">
        <v>76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52</v>
      </c>
      <c r="B32" s="4" t="s">
        <v>53</v>
      </c>
      <c r="C32" s="4" t="s">
        <v>54</v>
      </c>
      <c r="D32" s="4" t="s">
        <v>55</v>
      </c>
      <c r="E32" s="4" t="s">
        <v>56</v>
      </c>
      <c r="F32" s="4" t="s">
        <v>57</v>
      </c>
      <c r="G32" s="4" t="s">
        <v>77</v>
      </c>
      <c r="H32" s="4" t="s">
        <v>78</v>
      </c>
      <c r="I32" s="4" t="s">
        <v>60</v>
      </c>
      <c r="J32" s="4" t="s">
        <v>61</v>
      </c>
      <c r="K32" s="4" t="s">
        <v>62</v>
      </c>
      <c r="L32" s="4" t="s">
        <v>63</v>
      </c>
    </row>
    <row r="33" customFormat="false" ht="15" hidden="false" customHeight="false" outlineLevel="0" collapsed="false">
      <c r="A33" s="23" t="n">
        <v>1</v>
      </c>
      <c r="B33" s="23" t="s">
        <v>19</v>
      </c>
      <c r="C33" s="23" t="s">
        <v>18</v>
      </c>
      <c r="D33" s="24" t="n">
        <v>119699.06</v>
      </c>
      <c r="E33" s="24" t="n">
        <v>0</v>
      </c>
      <c r="F33" s="24" t="n">
        <v>0</v>
      </c>
      <c r="G33" s="24" t="n">
        <v>9974.94</v>
      </c>
      <c r="H33" s="24" t="n">
        <v>4352.7</v>
      </c>
      <c r="I33" s="24" t="n">
        <f aca="false">G33+H33</f>
        <v>14327.64</v>
      </c>
      <c r="J33" s="24" t="n">
        <f aca="false">D33-I33</f>
        <v>105371.42</v>
      </c>
      <c r="K33" s="25" t="s">
        <v>64</v>
      </c>
      <c r="L33" s="25" t="s">
        <v>65</v>
      </c>
    </row>
    <row r="34" customFormat="false" ht="15" hidden="false" customHeight="false" outlineLevel="0" collapsed="false">
      <c r="A34" s="23" t="n">
        <v>2</v>
      </c>
      <c r="B34" s="23" t="s">
        <v>20</v>
      </c>
      <c r="C34" s="23" t="s">
        <v>18</v>
      </c>
      <c r="D34" s="24" t="n">
        <v>13043.42</v>
      </c>
      <c r="E34" s="24" t="n">
        <v>0</v>
      </c>
      <c r="F34" s="24" t="n">
        <v>13043.42</v>
      </c>
      <c r="G34" s="24" t="n">
        <v>13043.42</v>
      </c>
      <c r="H34" s="24" t="n">
        <v>0</v>
      </c>
      <c r="I34" s="24" t="n">
        <f aca="false">G34+H34</f>
        <v>13043.42</v>
      </c>
      <c r="J34" s="24" t="n">
        <f aca="false">D34-I34</f>
        <v>0</v>
      </c>
      <c r="K34" s="25" t="s">
        <v>66</v>
      </c>
      <c r="L34" s="25" t="s">
        <v>67</v>
      </c>
    </row>
    <row r="35" customFormat="false" ht="15" hidden="false" customHeight="false" outlineLevel="0" collapsed="false">
      <c r="A35" s="23" t="n">
        <v>3</v>
      </c>
      <c r="B35" s="23" t="s">
        <v>21</v>
      </c>
      <c r="C35" s="23" t="s">
        <v>18</v>
      </c>
      <c r="D35" s="24" t="n">
        <v>24456.43</v>
      </c>
      <c r="E35" s="24" t="n">
        <v>0</v>
      </c>
      <c r="F35" s="24" t="n">
        <v>24456.43</v>
      </c>
      <c r="G35" s="24" t="n">
        <v>24456.43</v>
      </c>
      <c r="H35" s="24" t="n">
        <v>0</v>
      </c>
      <c r="I35" s="24" t="n">
        <f aca="false">G35+H35</f>
        <v>24456.43</v>
      </c>
      <c r="J35" s="24" t="n">
        <f aca="false">D35-I35</f>
        <v>0</v>
      </c>
      <c r="K35" s="25" t="s">
        <v>68</v>
      </c>
      <c r="L35" s="25" t="s">
        <v>69</v>
      </c>
    </row>
    <row r="36" customFormat="false" ht="15" hidden="false" customHeight="false" outlineLevel="0" collapsed="false">
      <c r="A36" s="26"/>
      <c r="B36" s="27" t="s">
        <v>22</v>
      </c>
      <c r="C36" s="26"/>
      <c r="D36" s="28" t="n">
        <f aca="false">SUM(D33:D35)</f>
        <v>157198.91</v>
      </c>
      <c r="E36" s="28" t="n">
        <f aca="false">SUM(E33:E35)</f>
        <v>0</v>
      </c>
      <c r="F36" s="28" t="n">
        <f aca="false">SUM(F33:F35)</f>
        <v>37499.85</v>
      </c>
      <c r="G36" s="28" t="n">
        <f aca="false">SUM(G33:G35)</f>
        <v>47474.79</v>
      </c>
      <c r="H36" s="28" t="n">
        <f aca="false">SUM(H33:H35)</f>
        <v>4352.7</v>
      </c>
      <c r="I36" s="28" t="n">
        <f aca="false">SUM(I33:I35)</f>
        <v>51827.49</v>
      </c>
      <c r="J36" s="28" t="n">
        <f aca="false">SUM(J33:J35)</f>
        <v>105371.42</v>
      </c>
      <c r="K36" s="26"/>
      <c r="L36" s="26"/>
    </row>
    <row r="38" customFormat="false" ht="15" hidden="false" customHeight="false" outlineLevel="0" collapsed="false">
      <c r="A38" s="21" t="s">
        <v>79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52</v>
      </c>
      <c r="B39" s="4" t="s">
        <v>53</v>
      </c>
      <c r="C39" s="4" t="s">
        <v>54</v>
      </c>
      <c r="D39" s="4" t="s">
        <v>55</v>
      </c>
      <c r="E39" s="4" t="s">
        <v>56</v>
      </c>
      <c r="F39" s="4" t="s">
        <v>57</v>
      </c>
      <c r="G39" s="4" t="s">
        <v>77</v>
      </c>
      <c r="H39" s="4" t="s">
        <v>78</v>
      </c>
      <c r="I39" s="4" t="s">
        <v>60</v>
      </c>
      <c r="J39" s="4" t="s">
        <v>61</v>
      </c>
      <c r="K39" s="4" t="s">
        <v>62</v>
      </c>
      <c r="L39" s="4" t="s">
        <v>63</v>
      </c>
    </row>
    <row r="40" customFormat="false" ht="15" hidden="false" customHeight="false" outlineLevel="0" collapsed="false">
      <c r="A40" s="23" t="n">
        <v>1</v>
      </c>
      <c r="B40" s="23" t="s">
        <v>33</v>
      </c>
      <c r="C40" s="23" t="s">
        <v>18</v>
      </c>
      <c r="D40" s="24" t="n">
        <v>18498.54</v>
      </c>
      <c r="E40" s="24" t="n">
        <v>0</v>
      </c>
      <c r="F40" s="24" t="n">
        <v>18498.54</v>
      </c>
      <c r="G40" s="24" t="n">
        <v>18498.54</v>
      </c>
      <c r="H40" s="24" t="n">
        <v>0</v>
      </c>
      <c r="I40" s="24" t="n">
        <f aca="false">G40+H40</f>
        <v>18498.54</v>
      </c>
      <c r="J40" s="24" t="n">
        <f aca="false">D40-I40</f>
        <v>0</v>
      </c>
      <c r="K40" s="25" t="s">
        <v>68</v>
      </c>
      <c r="L40" s="25" t="s">
        <v>69</v>
      </c>
    </row>
    <row r="41" customFormat="false" ht="15" hidden="false" customHeight="false" outlineLevel="0" collapsed="false">
      <c r="A41" s="23" t="n">
        <v>2</v>
      </c>
      <c r="B41" s="23" t="s">
        <v>26</v>
      </c>
      <c r="C41" s="23" t="s">
        <v>18</v>
      </c>
      <c r="D41" s="24" t="n">
        <v>101200.52</v>
      </c>
      <c r="E41" s="24" t="n">
        <v>0</v>
      </c>
      <c r="F41" s="24" t="n">
        <v>0</v>
      </c>
      <c r="G41" s="24" t="n">
        <v>8433.38</v>
      </c>
      <c r="H41" s="24" t="n">
        <v>3680.02</v>
      </c>
      <c r="I41" s="24" t="n">
        <f aca="false">G41+H41</f>
        <v>12113.4</v>
      </c>
      <c r="J41" s="24" t="n">
        <f aca="false">D41-I41</f>
        <v>89087.12</v>
      </c>
      <c r="K41" s="25" t="s">
        <v>64</v>
      </c>
      <c r="L41" s="25" t="s">
        <v>65</v>
      </c>
    </row>
    <row r="42" customFormat="false" ht="15" hidden="false" customHeight="false" outlineLevel="0" collapsed="false">
      <c r="A42" s="23" t="n">
        <v>3</v>
      </c>
      <c r="B42" s="23" t="s">
        <v>34</v>
      </c>
      <c r="C42" s="23" t="s">
        <v>18</v>
      </c>
      <c r="D42" s="24" t="n">
        <v>2015.76</v>
      </c>
      <c r="E42" s="24" t="n">
        <v>0</v>
      </c>
      <c r="F42" s="24" t="n">
        <v>2015.76</v>
      </c>
      <c r="G42" s="24" t="n">
        <v>2015.76</v>
      </c>
      <c r="H42" s="24" t="n">
        <v>0</v>
      </c>
      <c r="I42" s="24" t="n">
        <f aca="false">G42+H42</f>
        <v>2015.76</v>
      </c>
      <c r="J42" s="24" t="n">
        <f aca="false">D42-I42</f>
        <v>0</v>
      </c>
      <c r="K42" s="25" t="s">
        <v>68</v>
      </c>
      <c r="L42" s="25" t="s">
        <v>69</v>
      </c>
    </row>
    <row r="43" customFormat="false" ht="15" hidden="false" customHeight="false" outlineLevel="0" collapsed="false">
      <c r="A43" s="23" t="n">
        <v>4</v>
      </c>
      <c r="B43" s="23" t="s">
        <v>26</v>
      </c>
      <c r="C43" s="23" t="s">
        <v>18</v>
      </c>
      <c r="D43" s="24" t="n">
        <v>11027.66</v>
      </c>
      <c r="E43" s="24" t="n">
        <v>0</v>
      </c>
      <c r="F43" s="24" t="n">
        <v>0</v>
      </c>
      <c r="G43" s="24" t="n">
        <v>918.98</v>
      </c>
      <c r="H43" s="24" t="n">
        <v>401.01</v>
      </c>
      <c r="I43" s="24" t="n">
        <f aca="false">G43+H43</f>
        <v>1319.99</v>
      </c>
      <c r="J43" s="24" t="n">
        <f aca="false">D43-I43</f>
        <v>9707.67</v>
      </c>
      <c r="K43" s="25" t="s">
        <v>64</v>
      </c>
      <c r="L43" s="25" t="s">
        <v>65</v>
      </c>
    </row>
    <row r="44" customFormat="false" ht="15" hidden="false" customHeight="false" outlineLevel="0" collapsed="false">
      <c r="A44" s="23" t="n">
        <v>5</v>
      </c>
      <c r="B44" s="23" t="s">
        <v>35</v>
      </c>
      <c r="C44" s="23" t="s">
        <v>18</v>
      </c>
      <c r="D44" s="24" t="n">
        <v>3779.55</v>
      </c>
      <c r="E44" s="24" t="n">
        <v>0</v>
      </c>
      <c r="F44" s="24" t="n">
        <v>3779.55</v>
      </c>
      <c r="G44" s="24" t="n">
        <v>3779.55</v>
      </c>
      <c r="H44" s="24" t="n">
        <v>0</v>
      </c>
      <c r="I44" s="24" t="n">
        <f aca="false">G44+H44</f>
        <v>3779.55</v>
      </c>
      <c r="J44" s="24" t="n">
        <f aca="false">D44-I44</f>
        <v>0</v>
      </c>
      <c r="K44" s="25" t="s">
        <v>68</v>
      </c>
      <c r="L44" s="25" t="s">
        <v>69</v>
      </c>
    </row>
    <row r="45" customFormat="false" ht="15" hidden="false" customHeight="false" outlineLevel="0" collapsed="false">
      <c r="A45" s="23" t="n">
        <v>6</v>
      </c>
      <c r="B45" s="23" t="s">
        <v>32</v>
      </c>
      <c r="C45" s="23" t="s">
        <v>18</v>
      </c>
      <c r="D45" s="24" t="n">
        <v>20676.88</v>
      </c>
      <c r="E45" s="24" t="n">
        <v>0</v>
      </c>
      <c r="F45" s="24" t="n">
        <v>0</v>
      </c>
      <c r="G45" s="24" t="n">
        <v>1723.08</v>
      </c>
      <c r="H45" s="24" t="n">
        <v>751.89</v>
      </c>
      <c r="I45" s="24" t="n">
        <f aca="false">G45+H45</f>
        <v>2474.97</v>
      </c>
      <c r="J45" s="24" t="n">
        <f aca="false">D45-I45</f>
        <v>18201.91</v>
      </c>
      <c r="K45" s="25" t="s">
        <v>64</v>
      </c>
      <c r="L45" s="25" t="s">
        <v>65</v>
      </c>
    </row>
    <row r="46" customFormat="false" ht="15" hidden="false" customHeight="false" outlineLevel="0" collapsed="false">
      <c r="A46" s="26"/>
      <c r="B46" s="27" t="s">
        <v>22</v>
      </c>
      <c r="C46" s="26"/>
      <c r="D46" s="28" t="n">
        <f aca="false">SUM(D40:D45)</f>
        <v>157198.91</v>
      </c>
      <c r="E46" s="28" t="n">
        <f aca="false">SUM(E40:E45)</f>
        <v>0</v>
      </c>
      <c r="F46" s="28" t="n">
        <f aca="false">SUM(F40:F45)</f>
        <v>24293.85</v>
      </c>
      <c r="G46" s="28" t="n">
        <f aca="false">SUM(G40:G45)</f>
        <v>35369.29</v>
      </c>
      <c r="H46" s="28" t="n">
        <f aca="false">SUM(H40:H45)</f>
        <v>4832.92</v>
      </c>
      <c r="I46" s="28" t="n">
        <f aca="false">SUM(I40:I45)</f>
        <v>40202.21</v>
      </c>
      <c r="J46" s="28" t="n">
        <f aca="false">SUM(J40:J45)</f>
        <v>116996.7</v>
      </c>
      <c r="K46" s="26"/>
      <c r="L46" s="26"/>
    </row>
    <row r="48" customFormat="false" ht="15" hidden="false" customHeight="false" outlineLevel="0" collapsed="false">
      <c r="B48" s="18" t="s">
        <v>80</v>
      </c>
    </row>
    <row r="49" customFormat="false" ht="15" hidden="false" customHeight="false" outlineLevel="0" collapsed="false">
      <c r="B49" s="5" t="s">
        <v>73</v>
      </c>
      <c r="D49" s="6" t="n">
        <f aca="false">I36</f>
        <v>51827.49</v>
      </c>
    </row>
    <row r="50" customFormat="false" ht="15" hidden="false" customHeight="false" outlineLevel="0" collapsed="false">
      <c r="B50" s="5" t="s">
        <v>74</v>
      </c>
      <c r="D50" s="6" t="n">
        <f aca="false">I46</f>
        <v>40202.21</v>
      </c>
    </row>
    <row r="51" customFormat="false" ht="15" hidden="false" customHeight="false" outlineLevel="0" collapsed="false">
      <c r="B51" s="11" t="s">
        <v>80</v>
      </c>
      <c r="D51" s="29" t="n">
        <f aca="false">D49-D50</f>
        <v>11625.28</v>
      </c>
    </row>
    <row r="53" customFormat="false" ht="15" hidden="false" customHeight="false" outlineLevel="0" collapsed="false">
      <c r="A53" s="10" t="s">
        <v>81</v>
      </c>
    </row>
    <row r="54" customFormat="false" ht="15" hidden="false" customHeight="false" outlineLevel="0" collapsed="false">
      <c r="B54" s="11" t="s">
        <v>115</v>
      </c>
      <c r="D54" s="12" t="n">
        <f aca="false">D95</f>
        <v>157198.91</v>
      </c>
    </row>
    <row r="55" customFormat="false" ht="15" hidden="false" customHeight="false" outlineLevel="0" collapsed="false">
      <c r="B55" s="5" t="s">
        <v>116</v>
      </c>
      <c r="D55" s="6" t="n">
        <f aca="false">F95</f>
        <v>24293.85</v>
      </c>
    </row>
    <row r="56" customFormat="false" ht="15" hidden="false" customHeight="false" outlineLevel="0" collapsed="false">
      <c r="B56" s="30" t="s">
        <v>84</v>
      </c>
      <c r="D56" s="31" t="n">
        <f aca="false">F96</f>
        <v>0.154542102104906</v>
      </c>
    </row>
    <row r="57" customFormat="false" ht="15" hidden="false" customHeight="false" outlineLevel="0" collapsed="false">
      <c r="B57" s="5" t="s">
        <v>117</v>
      </c>
      <c r="D57" s="6" t="n">
        <f aca="false">H95</f>
        <v>132905.06</v>
      </c>
    </row>
    <row r="58" customFormat="false" ht="15" hidden="false" customHeight="false" outlineLevel="0" collapsed="false">
      <c r="B58" s="30" t="s">
        <v>84</v>
      </c>
      <c r="D58" s="31" t="n">
        <f aca="false">H96</f>
        <v>0.845457897895094</v>
      </c>
    </row>
    <row r="60" customFormat="false" ht="15" hidden="false" customHeight="false" outlineLevel="0" collapsed="false">
      <c r="A60" s="10" t="s">
        <v>87</v>
      </c>
    </row>
    <row r="61" customFormat="false" ht="15" hidden="false" customHeight="false" outlineLevel="0" collapsed="false">
      <c r="B61" s="4" t="s">
        <v>88</v>
      </c>
      <c r="D61" s="4" t="s">
        <v>55</v>
      </c>
      <c r="F61" s="4" t="s">
        <v>118</v>
      </c>
      <c r="H61" s="4" t="s">
        <v>91</v>
      </c>
    </row>
    <row r="62" customFormat="false" ht="15" hidden="false" customHeight="false" outlineLevel="0" collapsed="false">
      <c r="B62" s="32" t="s">
        <v>119</v>
      </c>
    </row>
    <row r="63" customFormat="false" ht="15" hidden="false" customHeight="false" outlineLevel="0" collapsed="false">
      <c r="B63" s="5" t="s">
        <v>120</v>
      </c>
      <c r="D63" s="33" t="n">
        <f aca="false">SUM(F63:H63)</f>
        <v>2291.97</v>
      </c>
      <c r="F63" s="33" t="n">
        <v>2291.97</v>
      </c>
    </row>
    <row r="64" customFormat="false" ht="15" hidden="false" customHeight="false" outlineLevel="0" collapsed="false">
      <c r="B64" s="5" t="s">
        <v>121</v>
      </c>
      <c r="D64" s="33" t="n">
        <f aca="false">SUM(F64:H64)</f>
        <v>2430.16</v>
      </c>
      <c r="F64" s="33" t="n">
        <v>2430.16</v>
      </c>
    </row>
    <row r="65" customFormat="false" ht="15" hidden="false" customHeight="false" outlineLevel="0" collapsed="false">
      <c r="B65" s="5" t="s">
        <v>151</v>
      </c>
      <c r="D65" s="33" t="n">
        <f aca="false">SUM(F65:H65)</f>
        <v>2419.4</v>
      </c>
      <c r="F65" s="33" t="n">
        <v>2419.4</v>
      </c>
    </row>
    <row r="66" customFormat="false" ht="15" hidden="false" customHeight="false" outlineLevel="0" collapsed="false">
      <c r="B66" s="5" t="s">
        <v>122</v>
      </c>
      <c r="D66" s="33" t="n">
        <f aca="false">SUM(F66:H66)</f>
        <v>555.89</v>
      </c>
      <c r="F66" s="33" t="n">
        <v>555.89</v>
      </c>
    </row>
    <row r="67" customFormat="false" ht="15" hidden="false" customHeight="false" outlineLevel="0" collapsed="false">
      <c r="B67" s="5" t="s">
        <v>160</v>
      </c>
      <c r="D67" s="33" t="n">
        <f aca="false">SUM(F67:H67)</f>
        <v>599.12</v>
      </c>
      <c r="F67" s="33" t="n">
        <v>599.12</v>
      </c>
    </row>
    <row r="68" customFormat="false" ht="15" hidden="false" customHeight="false" outlineLevel="0" collapsed="false">
      <c r="B68" s="5" t="s">
        <v>124</v>
      </c>
      <c r="D68" s="33" t="n">
        <f aca="false">SUM(F68:H68)</f>
        <v>1112.48</v>
      </c>
      <c r="F68" s="33" t="n">
        <v>1112.48</v>
      </c>
    </row>
    <row r="69" customFormat="false" ht="15" hidden="false" customHeight="false" outlineLevel="0" collapsed="false">
      <c r="B69" s="5" t="s">
        <v>125</v>
      </c>
      <c r="D69" s="33" t="n">
        <f aca="false">SUM(F69:H69)</f>
        <v>269.36</v>
      </c>
      <c r="F69" s="33" t="n">
        <v>269.36</v>
      </c>
    </row>
    <row r="70" customFormat="false" ht="15" hidden="false" customHeight="false" outlineLevel="0" collapsed="false">
      <c r="B70" s="5" t="s">
        <v>126</v>
      </c>
      <c r="D70" s="33" t="n">
        <f aca="false">SUM(F70:H70)</f>
        <v>92.21</v>
      </c>
      <c r="F70" s="33" t="n">
        <v>92.21</v>
      </c>
    </row>
    <row r="71" customFormat="false" ht="15" hidden="false" customHeight="false" outlineLevel="0" collapsed="false">
      <c r="B71" s="5" t="s">
        <v>127</v>
      </c>
      <c r="D71" s="33" t="n">
        <f aca="false">SUM(F71:H71)</f>
        <v>1299.33</v>
      </c>
      <c r="F71" s="33" t="n">
        <v>1299.33</v>
      </c>
    </row>
    <row r="72" customFormat="false" ht="15" hidden="false" customHeight="false" outlineLevel="0" collapsed="false">
      <c r="B72" s="5" t="s">
        <v>128</v>
      </c>
      <c r="D72" s="33" t="n">
        <f aca="false">SUM(F72:H72)</f>
        <v>3490.05</v>
      </c>
      <c r="F72" s="33" t="n">
        <v>3490.05</v>
      </c>
    </row>
    <row r="73" customFormat="false" ht="15" hidden="false" customHeight="false" outlineLevel="0" collapsed="false">
      <c r="B73" s="5" t="s">
        <v>161</v>
      </c>
      <c r="D73" s="33" t="n">
        <f aca="false">SUM(F73:H73)</f>
        <v>3357.95</v>
      </c>
      <c r="F73" s="33" t="n">
        <v>3357.95</v>
      </c>
    </row>
    <row r="74" customFormat="false" ht="15" hidden="false" customHeight="false" outlineLevel="0" collapsed="false">
      <c r="B74" s="5" t="s">
        <v>130</v>
      </c>
      <c r="D74" s="33" t="n">
        <f aca="false">SUM(F74:H74)</f>
        <v>554.78</v>
      </c>
      <c r="F74" s="33" t="n">
        <v>554.78</v>
      </c>
    </row>
    <row r="75" customFormat="false" ht="15" hidden="false" customHeight="false" outlineLevel="0" collapsed="false">
      <c r="B75" s="5" t="s">
        <v>162</v>
      </c>
      <c r="D75" s="33" t="n">
        <f aca="false">SUM(F75:H75)</f>
        <v>2385.48</v>
      </c>
      <c r="F75" s="33" t="n">
        <v>2385.48</v>
      </c>
    </row>
    <row r="76" customFormat="false" ht="15" hidden="false" customHeight="false" outlineLevel="0" collapsed="false">
      <c r="B76" s="5" t="s">
        <v>132</v>
      </c>
      <c r="D76" s="33" t="n">
        <f aca="false">SUM(F76:H76)</f>
        <v>3435.67</v>
      </c>
      <c r="F76" s="33" t="n">
        <v>3435.67</v>
      </c>
    </row>
    <row r="77" customFormat="false" ht="15" hidden="false" customHeight="false" outlineLevel="0" collapsed="false">
      <c r="B77" s="32" t="s">
        <v>133</v>
      </c>
    </row>
    <row r="78" customFormat="false" ht="15" hidden="false" customHeight="false" outlineLevel="0" collapsed="false">
      <c r="B78" s="5" t="s">
        <v>134</v>
      </c>
      <c r="D78" s="33" t="n">
        <f aca="false">SUM(F78:H78)</f>
        <v>14287.74</v>
      </c>
      <c r="H78" s="33" t="n">
        <v>14287.74</v>
      </c>
    </row>
    <row r="79" customFormat="false" ht="15" hidden="false" customHeight="false" outlineLevel="0" collapsed="false">
      <c r="B79" s="5" t="s">
        <v>135</v>
      </c>
      <c r="D79" s="33" t="n">
        <f aca="false">SUM(F79:H79)</f>
        <v>9649.9</v>
      </c>
      <c r="H79" s="33" t="n">
        <v>9649.9</v>
      </c>
    </row>
    <row r="80" customFormat="false" ht="15" hidden="false" customHeight="false" outlineLevel="0" collapsed="false">
      <c r="B80" s="5" t="s">
        <v>136</v>
      </c>
      <c r="D80" s="33" t="n">
        <f aca="false">SUM(F80:H80)</f>
        <v>10065.83</v>
      </c>
      <c r="H80" s="33" t="n">
        <v>10065.83</v>
      </c>
    </row>
    <row r="81" customFormat="false" ht="15" hidden="false" customHeight="false" outlineLevel="0" collapsed="false">
      <c r="B81" s="5" t="s">
        <v>137</v>
      </c>
      <c r="D81" s="33" t="n">
        <f aca="false">SUM(F81:H81)</f>
        <v>5264.8</v>
      </c>
      <c r="H81" s="33" t="n">
        <v>5264.8</v>
      </c>
    </row>
    <row r="82" customFormat="false" ht="15" hidden="false" customHeight="false" outlineLevel="0" collapsed="false">
      <c r="B82" s="5" t="s">
        <v>138</v>
      </c>
      <c r="D82" s="33" t="n">
        <f aca="false">SUM(F82:H82)</f>
        <v>12711.3</v>
      </c>
      <c r="H82" s="33" t="n">
        <v>12711.3</v>
      </c>
    </row>
    <row r="83" customFormat="false" ht="15" hidden="false" customHeight="false" outlineLevel="0" collapsed="false">
      <c r="B83" s="5" t="s">
        <v>139</v>
      </c>
      <c r="D83" s="33" t="n">
        <f aca="false">SUM(F83:H83)</f>
        <v>5317.82</v>
      </c>
      <c r="H83" s="33" t="n">
        <v>5317.82</v>
      </c>
    </row>
    <row r="84" customFormat="false" ht="15" hidden="false" customHeight="false" outlineLevel="0" collapsed="false">
      <c r="B84" s="5" t="s">
        <v>140</v>
      </c>
      <c r="D84" s="33" t="n">
        <f aca="false">SUM(F84:H84)</f>
        <v>6989.18</v>
      </c>
      <c r="H84" s="33" t="n">
        <v>6989.18</v>
      </c>
    </row>
    <row r="85" customFormat="false" ht="15" hidden="false" customHeight="false" outlineLevel="0" collapsed="false">
      <c r="B85" s="5" t="s">
        <v>141</v>
      </c>
      <c r="D85" s="33" t="n">
        <f aca="false">SUM(F85:H85)</f>
        <v>4903.35</v>
      </c>
      <c r="H85" s="33" t="n">
        <v>4903.35</v>
      </c>
    </row>
    <row r="86" customFormat="false" ht="15" hidden="false" customHeight="false" outlineLevel="0" collapsed="false">
      <c r="B86" s="5" t="s">
        <v>142</v>
      </c>
      <c r="D86" s="33" t="n">
        <f aca="false">SUM(F86:H86)</f>
        <v>4624.69</v>
      </c>
      <c r="H86" s="33" t="n">
        <v>4624.69</v>
      </c>
    </row>
    <row r="87" customFormat="false" ht="15" hidden="false" customHeight="false" outlineLevel="0" collapsed="false">
      <c r="B87" s="5" t="s">
        <v>143</v>
      </c>
      <c r="D87" s="33" t="n">
        <f aca="false">SUM(F87:H87)</f>
        <v>14835.75</v>
      </c>
      <c r="H87" s="33" t="n">
        <v>14835.75</v>
      </c>
    </row>
    <row r="88" customFormat="false" ht="15" hidden="false" customHeight="false" outlineLevel="0" collapsed="false">
      <c r="B88" s="5" t="s">
        <v>144</v>
      </c>
      <c r="D88" s="33" t="n">
        <f aca="false">SUM(F88:H88)</f>
        <v>5494.23</v>
      </c>
      <c r="H88" s="33" t="n">
        <v>5494.23</v>
      </c>
    </row>
    <row r="89" customFormat="false" ht="15" hidden="false" customHeight="false" outlineLevel="0" collapsed="false">
      <c r="B89" s="5" t="s">
        <v>145</v>
      </c>
      <c r="D89" s="33" t="n">
        <f aca="false">SUM(F89:H89)</f>
        <v>966.23</v>
      </c>
      <c r="H89" s="33" t="n">
        <v>966.23</v>
      </c>
    </row>
    <row r="90" customFormat="false" ht="15" hidden="false" customHeight="false" outlineLevel="0" collapsed="false">
      <c r="B90" s="5" t="s">
        <v>163</v>
      </c>
      <c r="D90" s="33" t="n">
        <f aca="false">SUM(F90:H90)</f>
        <v>569.85</v>
      </c>
      <c r="H90" s="33" t="n">
        <v>569.85</v>
      </c>
    </row>
    <row r="91" customFormat="false" ht="15" hidden="false" customHeight="false" outlineLevel="0" collapsed="false">
      <c r="B91" s="5" t="s">
        <v>146</v>
      </c>
      <c r="D91" s="33" t="n">
        <f aca="false">SUM(F91:H91)</f>
        <v>27454.27</v>
      </c>
      <c r="H91" s="33" t="n">
        <v>27454.27</v>
      </c>
    </row>
    <row r="92" customFormat="false" ht="15" hidden="false" customHeight="false" outlineLevel="0" collapsed="false">
      <c r="B92" s="5" t="s">
        <v>148</v>
      </c>
      <c r="D92" s="33" t="n">
        <f aca="false">SUM(F92:H92)</f>
        <v>3061.44</v>
      </c>
      <c r="H92" s="33" t="n">
        <v>3061.44</v>
      </c>
    </row>
    <row r="93" customFormat="false" ht="15" hidden="false" customHeight="false" outlineLevel="0" collapsed="false">
      <c r="B93" s="5" t="s">
        <v>164</v>
      </c>
      <c r="D93" s="33" t="n">
        <f aca="false">SUM(F93:H93)</f>
        <v>6574.58</v>
      </c>
      <c r="H93" s="33" t="n">
        <v>6574.58</v>
      </c>
    </row>
    <row r="94" customFormat="false" ht="15" hidden="false" customHeight="false" outlineLevel="0" collapsed="false">
      <c r="B94" s="5" t="s">
        <v>149</v>
      </c>
      <c r="D94" s="33" t="n">
        <f aca="false">SUM(F94:H94)</f>
        <v>134.1</v>
      </c>
      <c r="H94" s="33" t="n">
        <v>134.1</v>
      </c>
    </row>
    <row r="95" customFormat="false" ht="15" hidden="false" customHeight="false" outlineLevel="0" collapsed="false">
      <c r="B95" s="11" t="s">
        <v>115</v>
      </c>
      <c r="D95" s="34" t="n">
        <f aca="false">SUM(D62:D94)</f>
        <v>157198.91</v>
      </c>
      <c r="F95" s="34" t="n">
        <f aca="false">SUM(F62:F94)</f>
        <v>24293.85</v>
      </c>
      <c r="H95" s="34" t="n">
        <f aca="false">SUM(H62:H94)</f>
        <v>132905.06</v>
      </c>
    </row>
    <row r="96" customFormat="false" ht="15" hidden="false" customHeight="false" outlineLevel="0" collapsed="false">
      <c r="B96" s="30" t="s">
        <v>84</v>
      </c>
      <c r="F96" s="31" t="n">
        <f aca="false">F95/D95</f>
        <v>0.154542102104906</v>
      </c>
      <c r="H96" s="31" t="n">
        <f aca="false">H95/D95</f>
        <v>0.845457897895094</v>
      </c>
    </row>
    <row r="98" customFormat="false" ht="15" hidden="false" customHeight="false" outlineLevel="0" collapsed="false">
      <c r="A98" s="10" t="s">
        <v>110</v>
      </c>
    </row>
    <row r="99" customFormat="false" ht="15" hidden="false" customHeight="false" outlineLevel="0" collapsed="false">
      <c r="B99" s="4" t="s">
        <v>111</v>
      </c>
      <c r="D99" s="4" t="s">
        <v>55</v>
      </c>
      <c r="F99" s="4" t="s">
        <v>118</v>
      </c>
      <c r="H99" s="4" t="s">
        <v>91</v>
      </c>
    </row>
    <row r="100" customFormat="false" ht="15" hidden="false" customHeight="false" outlineLevel="0" collapsed="false">
      <c r="B100" s="5" t="str">
        <f aca="false">Office!B17</f>
        <v>2-Building-5yr</v>
      </c>
      <c r="D100" s="33" t="n">
        <f aca="false">SUM(F100:H100)</f>
        <v>18498.54</v>
      </c>
      <c r="F100" s="33" t="n">
        <f aca="false">Office!D17</f>
        <v>18498.54</v>
      </c>
    </row>
    <row r="101" customFormat="false" ht="15" hidden="false" customHeight="false" outlineLevel="0" collapsed="false">
      <c r="B101" s="5" t="str">
        <f aca="false">Office!B18</f>
        <v>2-Building-27.5yr</v>
      </c>
      <c r="D101" s="33" t="n">
        <f aca="false">SUM(F101:H101)</f>
        <v>101200.52</v>
      </c>
      <c r="H101" s="33" t="n">
        <f aca="false">Office!D18</f>
        <v>101200.52</v>
      </c>
    </row>
    <row r="102" customFormat="false" ht="15" hidden="false" customHeight="false" outlineLevel="0" collapsed="false">
      <c r="B102" s="5" t="str">
        <f aca="false">Office!B19</f>
        <v>3-Land Improvements-5yr</v>
      </c>
      <c r="D102" s="33" t="n">
        <f aca="false">SUM(F102:H102)</f>
        <v>2015.76</v>
      </c>
      <c r="F102" s="33" t="n">
        <f aca="false">Office!D19</f>
        <v>2015.76</v>
      </c>
    </row>
    <row r="103" customFormat="false" ht="15" hidden="false" customHeight="false" outlineLevel="0" collapsed="false">
      <c r="B103" s="5" t="str">
        <f aca="false">Office!B20</f>
        <v>2-Building-27.5yr</v>
      </c>
      <c r="D103" s="33" t="n">
        <f aca="false">SUM(F103:H103)</f>
        <v>11027.66</v>
      </c>
      <c r="H103" s="33" t="n">
        <f aca="false">Office!D20</f>
        <v>11027.66</v>
      </c>
    </row>
    <row r="104" customFormat="false" ht="15" hidden="false" customHeight="false" outlineLevel="0" collapsed="false">
      <c r="B104" s="5" t="str">
        <f aca="false">Office!B21</f>
        <v>4-Equipment-5yr</v>
      </c>
      <c r="D104" s="33" t="n">
        <f aca="false">SUM(F104:H104)</f>
        <v>3779.55</v>
      </c>
      <c r="F104" s="33" t="n">
        <f aca="false">Office!D21</f>
        <v>3779.55</v>
      </c>
    </row>
    <row r="105" customFormat="false" ht="15" hidden="false" customHeight="false" outlineLevel="0" collapsed="false">
      <c r="B105" s="5" t="str">
        <f aca="false">Office!B22</f>
        <v>4-Equipment-27.5yr</v>
      </c>
      <c r="D105" s="33" t="n">
        <f aca="false">SUM(F105:H105)</f>
        <v>20676.88</v>
      </c>
      <c r="H105" s="33" t="n">
        <f aca="false">Office!D22</f>
        <v>20676.88</v>
      </c>
    </row>
    <row r="106" customFormat="false" ht="15" hidden="false" customHeight="false" outlineLevel="0" collapsed="false">
      <c r="B106" s="11" t="s">
        <v>112</v>
      </c>
      <c r="D106" s="34" t="n">
        <f aca="false">SUM(D100:D105)</f>
        <v>157198.91</v>
      </c>
      <c r="F106" s="34" t="n">
        <f aca="false">SUM(F100:F105)</f>
        <v>24293.85</v>
      </c>
      <c r="H106" s="34" t="n">
        <f aca="false">SUM(H100:H105)</f>
        <v>132905.06</v>
      </c>
    </row>
    <row r="107" customFormat="false" ht="15" hidden="false" customHeight="false" outlineLevel="0" collapsed="false">
      <c r="B107" s="16" t="s">
        <v>113</v>
      </c>
      <c r="D107" s="17" t="n">
        <f aca="false">D106-D95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2026-07-17T19:11:02Z</dcterms:created>
  <dc:creator>openpyxl</dc:creator>
  <dc:description/>
  <dc:language>en-US</dc:language>
  <cp:lastModifiedBy/>
  <dcterms:modified xsi:type="dcterms:W3CDTF">2026-07-17T19:11:03Z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