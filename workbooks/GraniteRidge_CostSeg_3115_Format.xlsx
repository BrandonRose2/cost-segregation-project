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Apartments 1-16" sheetId="3" state="visible" r:id="rId5"/>
    <sheet name="Apartments 17-32" sheetId="4" state="visible" r:id="rId6"/>
    <sheet name="Apartments 33-48" sheetId="5" state="visible" r:id="rId7"/>
    <sheet name="Apartments 49-64" sheetId="6" state="visible" r:id="rId8"/>
    <sheet name="Apartments 64-80" sheetId="7" state="visible" r:id="rId9"/>
    <sheet name="Laundry 1" sheetId="8" state="visible" r:id="rId10"/>
    <sheet name="Laundry 2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<sst xmlns="http://schemas.openxmlformats.org/spreadsheetml/2006/main" count="1660" uniqueCount="171">
  <si>
    <t xml:space="preserve">Granite Ridge Housing LP</t>
  </si>
  <si>
    <t xml:space="preserve">Granite Ridge — 246 E Iris Ave, Stockton, CA 95210</t>
  </si>
  <si>
    <t xml:space="preserve">EIN: 81-1683638    ·    FYE: December 31, 2024    ·    Year of Change: 1/1/2024</t>
  </si>
  <si>
    <t xml:space="preserve">Summary of Cost Segregation Adjustments — CSSI Report #107752-34 (CAM — DCN #7)</t>
  </si>
  <si>
    <t xml:space="preserve">Acq Date</t>
  </si>
  <si>
    <t xml:space="preserve">Asset Description</t>
  </si>
  <si>
    <t xml:space="preserve">Total</t>
  </si>
  <si>
    <t xml:space="preserve">Site</t>
  </si>
  <si>
    <t xml:space="preserve">Apartments 1-16</t>
  </si>
  <si>
    <t xml:space="preserve">Apartments 17-32</t>
  </si>
  <si>
    <t xml:space="preserve">Apartments 33-48</t>
  </si>
  <si>
    <t xml:space="preserve">Apartments 49-64</t>
  </si>
  <si>
    <t xml:space="preserve">Apartments 64-80</t>
  </si>
  <si>
    <t xml:space="preserve">Laundry 1</t>
  </si>
  <si>
    <t xml:space="preserve">Laundry 2</t>
  </si>
  <si>
    <t xml:space="preserve">6/08/16</t>
  </si>
  <si>
    <t xml:space="preserve">2 - Building - Site</t>
  </si>
  <si>
    <t xml:space="preserve">4 - Equipment - Site</t>
  </si>
  <si>
    <t xml:space="preserve">5 - Land Improvements - Site</t>
  </si>
  <si>
    <t xml:space="preserve">2 - Building - apt</t>
  </si>
  <si>
    <t xml:space="preserve">4 - Equipment - apt</t>
  </si>
  <si>
    <t xml:space="preserve">5 - Land Improvements - apt</t>
  </si>
  <si>
    <t xml:space="preserve">2 - Building - L1</t>
  </si>
  <si>
    <t xml:space="preserve">4 - Equipment - L1</t>
  </si>
  <si>
    <t xml:space="preserve">5 - Land Improvements - L1</t>
  </si>
  <si>
    <t xml:space="preserve">2 - Building - L2</t>
  </si>
  <si>
    <t xml:space="preserve">4 - Equipment - L2</t>
  </si>
  <si>
    <t xml:space="preserve">5 - Land Improvements - L2</t>
  </si>
  <si>
    <t xml:space="preserve">Grand Total</t>
  </si>
  <si>
    <t xml:space="preserve">MACRS Reclassification</t>
  </si>
  <si>
    <t xml:space="preserve">2 - Building - Site - 15yr</t>
  </si>
  <si>
    <t xml:space="preserve">2 - Building - Site - 27.5yr</t>
  </si>
  <si>
    <t xml:space="preserve">4 - Equipment - Site - 15yr</t>
  </si>
  <si>
    <t xml:space="preserve">4 - Equipment - Site - 27.5yr</t>
  </si>
  <si>
    <t xml:space="preserve">5 - Land Improvements - Site - 15yr</t>
  </si>
  <si>
    <t xml:space="preserve">5 - Land Improvements - Site - 27.5yr</t>
  </si>
  <si>
    <t xml:space="preserve">2 - Building - apt - 5yr</t>
  </si>
  <si>
    <t xml:space="preserve">2 - Building - apt - 27.5yr</t>
  </si>
  <si>
    <t xml:space="preserve">4 - Equipment - apt - 5yr</t>
  </si>
  <si>
    <t xml:space="preserve">4 - Equipment - apt - 27.5yr</t>
  </si>
  <si>
    <t xml:space="preserve">5 - Land Improvements - apt - 5yr</t>
  </si>
  <si>
    <t xml:space="preserve">5 - Land Improvements - apt - 27.5yr</t>
  </si>
  <si>
    <t xml:space="preserve">2 - Building - L1 - 5yr</t>
  </si>
  <si>
    <t xml:space="preserve">2 - Building - L1 - 27.5yr</t>
  </si>
  <si>
    <t xml:space="preserve">4 - Equipment - L1 - 5yr</t>
  </si>
  <si>
    <t xml:space="preserve">4 - Equipment - L1 - 27.5yr</t>
  </si>
  <si>
    <t xml:space="preserve">5 - Land Improvements - L1 - 5yr</t>
  </si>
  <si>
    <t xml:space="preserve">5 - Land Improvements - L1 - 27.5yr</t>
  </si>
  <si>
    <t xml:space="preserve">2 - Building - L2 - 5yr</t>
  </si>
  <si>
    <t xml:space="preserve">2 - Building - L2 - 27.5yr</t>
  </si>
  <si>
    <t xml:space="preserve">4 - Equipment - L2 - 5yr</t>
  </si>
  <si>
    <t xml:space="preserve">4 - Equipment - L2 - 27.5yr</t>
  </si>
  <si>
    <t xml:space="preserve">5 - Land Improvements - L2 - 5yr</t>
  </si>
  <si>
    <t xml:space="preserve">5 - Land Improvements - L2 - 27.5yr</t>
  </si>
  <si>
    <t xml:space="preserve">Total MACRS Reclassification</t>
  </si>
  <si>
    <t xml:space="preserve">Difference (should be zero)</t>
  </si>
  <si>
    <t xml:space="preserve">End Depreciation Reconciliation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</si>
  <si>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</si>
  <si>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</si>
  <si>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</si>
  <si>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Check vs. unit-tab 481(a) cells (should be zero)</t>
  </si>
  <si>
    <t xml:space="preserve">Notes</t>
  </si>
  <si>
    <t xml:space="preserve">1. Total footed §481(a) adjustment across all units: -368,477.71 (Regular Tax; AMT equals Regular Tax on every unit in this report).</t>
  </si>
  <si>
    <t xml:space="preserve">2. The Form 3115 face page states a tax year of change beginning 1/1/2025, while the attached statements and all 481(a) schedules use a year of change beginning 1/1/2024 (FYE 12/31/2024). Confirm the intended year of change with the preparer before filing.</t>
  </si>
  <si>
    <t xml:space="preserve">3. All End Depreciation, Net Book Value, totals, and 481(a) cells are live formulas; asset-level inputs are transcribed from the CSSI PDF. The Difference and Check rows must remain zero after any edit.</t>
  </si>
  <si>
    <t xml:space="preserve">Site — Attachment to Form 3115 (DCN #7, Rev. Proc. 2024-23 §6.01)</t>
  </si>
  <si>
    <t xml:space="preserve">Source: CSSI Report #107752-34, "#107752-34_Granite Ridge - 3115 Combined.pdf"</t>
  </si>
  <si>
    <t xml:space="preserve">CALCULATION OF §481(a) ADJUSTMENT — REGULAR TAX</t>
  </si>
  <si>
    <t xml:space="preserve">As Previously Filed</t>
  </si>
  <si>
    <t xml:space="preserve">Asset</t>
  </si>
  <si>
    <t xml:space="preserve">Property Description</t>
  </si>
  <si>
    <t xml:space="preserve">Date In Service</t>
  </si>
  <si>
    <t xml:space="preserve">Cost</t>
  </si>
  <si>
    <t xml:space="preserve">Sec 179 Exp</t>
  </si>
  <si>
    <t xml:space="preserve">Bonus Amt</t>
  </si>
  <si>
    <t xml:space="preserve">Tax Prior Depreciation</t>
  </si>
  <si>
    <t xml:space="preserve">Tax Current Depreciation</t>
  </si>
  <si>
    <t xml:space="preserve">End Depreciation</t>
  </si>
  <si>
    <t xml:space="preserve">Net Book Value</t>
  </si>
  <si>
    <t xml:space="preserve">Method</t>
  </si>
  <si>
    <t xml:space="preserve">Period</t>
  </si>
  <si>
    <t xml:space="preserve">S/L</t>
  </si>
  <si>
    <t xml:space="preserve">27.5</t>
  </si>
  <si>
    <t xml:space="preserve">200DB</t>
  </si>
  <si>
    <t xml:space="preserve">5.0</t>
  </si>
  <si>
    <t xml:space="preserve">150DB</t>
  </si>
  <si>
    <t xml:space="preserve">15.0</t>
  </si>
  <si>
    <t xml:space="preserve">After Cost Segregation Correction</t>
  </si>
  <si>
    <t xml:space="preserve">Section 481(a) Adjustment — Regular Tax</t>
  </si>
  <si>
    <t xml:space="preserve">Depreciation reported previously</t>
  </si>
  <si>
    <t xml:space="preserve">Cost Segregation Corrected Depreciation</t>
  </si>
  <si>
    <t xml:space="preserve">CALCULATION OF §481(a) ADJUSTMENT — AMT</t>
  </si>
  <si>
    <t xml:space="preserve">As Previously Filed — AMT</t>
  </si>
  <si>
    <t xml:space="preserve">AMT Prior Depreciation</t>
  </si>
  <si>
    <t xml:space="preserve">AMT Current Depreciation</t>
  </si>
  <si>
    <t xml:space="preserve">After Cost Segregation Correction — AMT</t>
  </si>
  <si>
    <t xml:space="preserve">Section 481(a) Adjustment — AMT</t>
  </si>
  <si>
    <t xml:space="preserve">COST SEGREGATION STUDY — COST SUMMARY</t>
  </si>
  <si>
    <t xml:space="preserve">Total Site Cost</t>
  </si>
  <si>
    <t xml:space="preserve">Site Improvements: 15 Year</t>
  </si>
  <si>
    <t xml:space="preserve">% of Cost</t>
  </si>
  <si>
    <t xml:space="preserve">Site Utilities: 27.5 Year</t>
  </si>
  <si>
    <t xml:space="preserve">COST SEGREGATION STUDY — COST DETAIL</t>
  </si>
  <si>
    <t xml:space="preserve">Property Category</t>
  </si>
  <si>
    <t xml:space="preserve">15 Year</t>
  </si>
  <si>
    <t xml:space="preserve">27.5 Year</t>
  </si>
  <si>
    <t xml:space="preserve">Site Work / Improvements</t>
  </si>
  <si>
    <t xml:space="preserve">Site Drainage</t>
  </si>
  <si>
    <t xml:space="preserve">Parking Lot</t>
  </si>
  <si>
    <t xml:space="preserve">Parking Lot Striping / Barriers</t>
  </si>
  <si>
    <t xml:space="preserve">Sidewalks / Curbs</t>
  </si>
  <si>
    <t xml:space="preserve">Landscaping</t>
  </si>
  <si>
    <t xml:space="preserve">Security Lighting Poles</t>
  </si>
  <si>
    <t xml:space="preserve">Exterior Fencing</t>
  </si>
  <si>
    <t xml:space="preserve">Dumpster Enclosures</t>
  </si>
  <si>
    <t xml:space="preserve">Exterior Equipment Concrete Pads</t>
  </si>
  <si>
    <t xml:space="preserve">Playground</t>
  </si>
  <si>
    <t xml:space="preserve">Site Utilities</t>
  </si>
  <si>
    <t xml:space="preserve">ASSET ALLOCATION (per After Cost Segregation schedule)</t>
  </si>
  <si>
    <t xml:space="preserve">Asset (as reclassified)</t>
  </si>
  <si>
    <t xml:space="preserve">Total Allocation</t>
  </si>
  <si>
    <t xml:space="preserve">Check: Allocation vs. Cost Detail (should be zero)</t>
  </si>
  <si>
    <t xml:space="preserve">Apartments 1-16 — Attachment to Form 3115 (DCN #7, Rev. Proc. 2024-23 §6.01)</t>
  </si>
  <si>
    <t xml:space="preserve">Total Building Cost</t>
  </si>
  <si>
    <t xml:space="preserve">Building Components: 5 Year</t>
  </si>
  <si>
    <t xml:space="preserve">Building Structure: 27.5 Year</t>
  </si>
  <si>
    <t xml:space="preserve">5 Year</t>
  </si>
  <si>
    <t xml:space="preserve">Building Components</t>
  </si>
  <si>
    <t xml:space="preserve">Cabinets / Millwork</t>
  </si>
  <si>
    <t xml:space="preserve">Moldings</t>
  </si>
  <si>
    <t xml:space="preserve">Flooring - Vinyl Tile</t>
  </si>
  <si>
    <t xml:space="preserve">Flooring - Carpet</t>
  </si>
  <si>
    <t xml:space="preserve">Flooring - Vinyl Plank</t>
  </si>
  <si>
    <t xml:space="preserve">Door &amp; Window Guards</t>
  </si>
  <si>
    <t xml:space="preserve">Window Treatments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</si>
  <si>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</si>
  <si>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</si>
  <si>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</si>
  <si>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</t>
  </si>
  <si>
    <t xml:space="preserve">Security / Exterior Lighting</t>
  </si>
  <si>
    <t xml:space="preserve">Access Control</t>
  </si>
  <si>
    <t xml:space="preserve">Appliances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</si>
  <si>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</si>
  <si>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</si>
  <si>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</si>
  <si>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</si>
  <si>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</si>
  <si>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</si>
  <si>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</si>
  <si>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</si>
  <si>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</si>
  <si>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</si>
  <si>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</si>
  <si>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</si>
  <si>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</si>
  <si>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</si>
  <si>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</si>
  <si>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Stairs / Balconies</t>
  </si>
  <si>
    <t xml:space="preserve">Bathroom Accessories</t>
  </si>
  <si>
    <t xml:space="preserve">Cabinets / Millwork - Restrooms</t>
  </si>
  <si>
    <t xml:space="preserve">Apartments 17-32 — Attachment to Form 3115 (DCN #7, Rev. Proc. 2024-23 §6.01)</t>
  </si>
  <si>
    <t xml:space="preserve">Apartments 33-48 — Attachment to Form 3115 (DCN #7, Rev. Proc. 2024-23 §6.01)</t>
  </si>
  <si>
    <t xml:space="preserve">Emergency Lighting</t>
  </si>
  <si>
    <t xml:space="preserve">Apartments 49-64 — Attachment to Form 3115 (DCN #7, Rev. Proc. 2024-23 §6.01)</t>
  </si>
  <si>
    <t xml:space="preserve">Apartments 64-80 — Attachment to Form 3115 (DCN #7, Rev. Proc. 2024-23 §6.01)</t>
  </si>
  <si>
    <t xml:space="preserve">Laundry 1 — Attachment to Form 3115 (DCN #7, Rev. Proc. 2024-23 §6.01)</t>
  </si>
  <si>
    <t xml:space="preserve">Interior Half Walls</t>
  </si>
  <si>
    <t xml:space="preserve">Specialty HVAC - Dryer Vents</t>
  </si>
  <si>
    <t xml:space="preserve">Specialty Plumbing - Laundry</t>
  </si>
  <si>
    <t xml:space="preserve">Laundry 2 — Attachment to Form 3115 (DCN #7, Rev. Proc. 2024-23 §6.01)</t>
  </si>
  <si>
    <t xml:space="preserve">Mailboxes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</si>
</sst>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"/>
    <numFmt numFmtId="166" formatCode="#,##0.00;\(#,##0.00\)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2"/>
        <bgColor rgb="FFF2F2F2"/>
      </patternFill>
    </fill>
    <fill>
      <patternFill patternType="solid">
        <fgColor rgb="FFFCE4C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double"/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C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11" min="4" style="0" width="12.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7" customFormat="false" ht="22.35" hidden="false" customHeight="fals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</row>
    <row r="8" customFormat="false" ht="15" hidden="false" customHeight="false" outlineLevel="0" collapsed="false">
      <c r="A8" s="5" t="s">
        <v>15</v>
      </c>
      <c r="B8" s="5" t="s">
        <v>16</v>
      </c>
      <c r="C8" s="6" t="n">
        <f aca="false">SUM(D8:K8)</f>
        <v>254562.48</v>
      </c>
      <c r="D8" s="6" t="n">
        <f aca="false">Site!$D$10</f>
        <v>254562.48</v>
      </c>
      <c r="E8" s="6"/>
      <c r="F8" s="6"/>
      <c r="G8" s="6"/>
      <c r="H8" s="6"/>
      <c r="I8" s="6"/>
      <c r="J8" s="6"/>
      <c r="K8" s="6"/>
    </row>
    <row r="9" customFormat="false" ht="15" hidden="false" customHeight="false" outlineLevel="0" collapsed="false">
      <c r="A9" s="5" t="s">
        <v>15</v>
      </c>
      <c r="B9" s="5" t="s">
        <v>17</v>
      </c>
      <c r="C9" s="6" t="n">
        <f aca="false">SUM(D9:K9)</f>
        <v>31586.5</v>
      </c>
      <c r="D9" s="6" t="n">
        <f aca="false">Site!$D$11</f>
        <v>31586.5</v>
      </c>
      <c r="E9" s="6"/>
      <c r="F9" s="6"/>
      <c r="G9" s="6"/>
      <c r="H9" s="6"/>
      <c r="I9" s="6"/>
      <c r="J9" s="6"/>
      <c r="K9" s="6"/>
    </row>
    <row r="10" customFormat="false" ht="15" hidden="false" customHeight="false" outlineLevel="0" collapsed="false">
      <c r="A10" s="5" t="s">
        <v>15</v>
      </c>
      <c r="B10" s="5" t="s">
        <v>18</v>
      </c>
      <c r="C10" s="6" t="n">
        <f aca="false">SUM(D10:K10)</f>
        <v>26154.15</v>
      </c>
      <c r="D10" s="6" t="n">
        <f aca="false">Site!$D$12</f>
        <v>26154.15</v>
      </c>
      <c r="E10" s="6"/>
      <c r="F10" s="6"/>
      <c r="G10" s="6"/>
      <c r="H10" s="6"/>
      <c r="I10" s="6"/>
      <c r="J10" s="6"/>
      <c r="K10" s="6"/>
    </row>
    <row r="11" customFormat="false" ht="15" hidden="false" customHeight="false" outlineLevel="0" collapsed="false">
      <c r="A11" s="5" t="s">
        <v>15</v>
      </c>
      <c r="B11" s="5" t="s">
        <v>19</v>
      </c>
      <c r="C11" s="6" t="n">
        <f aca="false">SUM(D11:K11)</f>
        <v>1958971.84</v>
      </c>
      <c r="D11" s="6"/>
      <c r="E11" s="6" t="n">
        <f aca="false">'Apartments 1-16'!$D$10</f>
        <v>389188.67</v>
      </c>
      <c r="F11" s="6" t="n">
        <f aca="false">'Apartments 17-32'!$D$10</f>
        <v>389188.67</v>
      </c>
      <c r="G11" s="6" t="n">
        <f aca="false">'Apartments 33-48'!$D$10</f>
        <v>402217.16</v>
      </c>
      <c r="H11" s="6" t="n">
        <f aca="false">'Apartments 49-64'!$D$10</f>
        <v>389188.67</v>
      </c>
      <c r="I11" s="6" t="n">
        <f aca="false">'Apartments 64-80'!$D$10</f>
        <v>389188.67</v>
      </c>
      <c r="J11" s="6"/>
      <c r="K11" s="6"/>
    </row>
    <row r="12" customFormat="false" ht="15" hidden="false" customHeight="false" outlineLevel="0" collapsed="false">
      <c r="A12" s="5" t="s">
        <v>15</v>
      </c>
      <c r="B12" s="5" t="s">
        <v>20</v>
      </c>
      <c r="C12" s="6" t="n">
        <f aca="false">SUM(D12:K12)</f>
        <v>243072.19</v>
      </c>
      <c r="D12" s="6"/>
      <c r="E12" s="6" t="n">
        <f aca="false">'Apartments 1-16'!$D$11</f>
        <v>48291.12</v>
      </c>
      <c r="F12" s="6" t="n">
        <f aca="false">'Apartments 17-32'!$D$11</f>
        <v>48291.12</v>
      </c>
      <c r="G12" s="6" t="n">
        <f aca="false">'Apartments 33-48'!$D$11</f>
        <v>49907.71</v>
      </c>
      <c r="H12" s="6" t="n">
        <f aca="false">'Apartments 49-64'!$D$11</f>
        <v>48291.12</v>
      </c>
      <c r="I12" s="6" t="n">
        <f aca="false">'Apartments 64-80'!$D$11</f>
        <v>48291.12</v>
      </c>
      <c r="J12" s="6"/>
      <c r="K12" s="6"/>
    </row>
    <row r="13" customFormat="false" ht="15" hidden="false" customHeight="false" outlineLevel="0" collapsed="false">
      <c r="A13" s="5" t="s">
        <v>15</v>
      </c>
      <c r="B13" s="5" t="s">
        <v>21</v>
      </c>
      <c r="C13" s="6" t="n">
        <f aca="false">SUM(D13:K13)</f>
        <v>201267.87</v>
      </c>
      <c r="D13" s="6"/>
      <c r="E13" s="6" t="n">
        <f aca="false">'Apartments 1-16'!$D$12</f>
        <v>39985.86</v>
      </c>
      <c r="F13" s="6" t="n">
        <f aca="false">'Apartments 17-32'!$D$12</f>
        <v>39985.86</v>
      </c>
      <c r="G13" s="6" t="n">
        <f aca="false">'Apartments 33-48'!$D$12</f>
        <v>41324.43</v>
      </c>
      <c r="H13" s="6" t="n">
        <f aca="false">'Apartments 49-64'!$D$12</f>
        <v>39985.86</v>
      </c>
      <c r="I13" s="6" t="n">
        <f aca="false">'Apartments 64-80'!$D$12</f>
        <v>39985.86</v>
      </c>
      <c r="J13" s="6"/>
      <c r="K13" s="6"/>
    </row>
    <row r="14" customFormat="false" ht="15" hidden="false" customHeight="false" outlineLevel="0" collapsed="false">
      <c r="A14" s="5" t="s">
        <v>15</v>
      </c>
      <c r="B14" s="5" t="s">
        <v>22</v>
      </c>
      <c r="C14" s="6" t="n">
        <f aca="false">SUM(D14:K14)</f>
        <v>26288.67</v>
      </c>
      <c r="D14" s="6"/>
      <c r="E14" s="6"/>
      <c r="F14" s="6"/>
      <c r="G14" s="6"/>
      <c r="H14" s="6"/>
      <c r="I14" s="6"/>
      <c r="J14" s="6" t="n">
        <f aca="false">'Laundry 1'!$D$10</f>
        <v>26288.67</v>
      </c>
      <c r="K14" s="6"/>
    </row>
    <row r="15" customFormat="false" ht="15" hidden="false" customHeight="false" outlineLevel="0" collapsed="false">
      <c r="A15" s="5" t="s">
        <v>15</v>
      </c>
      <c r="B15" s="5" t="s">
        <v>23</v>
      </c>
      <c r="C15" s="6" t="n">
        <f aca="false">SUM(D15:K15)</f>
        <v>3261.92</v>
      </c>
      <c r="D15" s="6"/>
      <c r="E15" s="6"/>
      <c r="F15" s="6"/>
      <c r="G15" s="6"/>
      <c r="H15" s="6"/>
      <c r="I15" s="6"/>
      <c r="J15" s="6" t="n">
        <f aca="false">'Laundry 1'!$D$11</f>
        <v>3261.92</v>
      </c>
      <c r="K15" s="6"/>
    </row>
    <row r="16" customFormat="false" ht="15" hidden="false" customHeight="false" outlineLevel="0" collapsed="false">
      <c r="A16" s="5" t="s">
        <v>15</v>
      </c>
      <c r="B16" s="5" t="s">
        <v>24</v>
      </c>
      <c r="C16" s="6" t="n">
        <f aca="false">SUM(D16:K16)</f>
        <v>2700.93</v>
      </c>
      <c r="D16" s="6"/>
      <c r="E16" s="6"/>
      <c r="F16" s="6"/>
      <c r="G16" s="6"/>
      <c r="H16" s="6"/>
      <c r="I16" s="6"/>
      <c r="J16" s="6" t="n">
        <f aca="false">'Laundry 1'!$D$12</f>
        <v>2700.93</v>
      </c>
      <c r="K16" s="6"/>
    </row>
    <row r="17" customFormat="false" ht="15" hidden="false" customHeight="false" outlineLevel="0" collapsed="false">
      <c r="A17" s="5" t="s">
        <v>15</v>
      </c>
      <c r="B17" s="5" t="s">
        <v>25</v>
      </c>
      <c r="C17" s="6" t="n">
        <f aca="false">SUM(D17:K17)</f>
        <v>30475.01</v>
      </c>
      <c r="D17" s="6"/>
      <c r="E17" s="6"/>
      <c r="F17" s="6"/>
      <c r="G17" s="6"/>
      <c r="H17" s="6"/>
      <c r="I17" s="6"/>
      <c r="J17" s="6"/>
      <c r="K17" s="6" t="n">
        <f aca="false">'Laundry 2'!$D$10</f>
        <v>30475.01</v>
      </c>
    </row>
    <row r="18" customFormat="false" ht="15" hidden="false" customHeight="false" outlineLevel="0" collapsed="false">
      <c r="A18" s="5" t="s">
        <v>15</v>
      </c>
      <c r="B18" s="5" t="s">
        <v>26</v>
      </c>
      <c r="C18" s="6" t="n">
        <f aca="false">SUM(D18:K18)</f>
        <v>3781.39</v>
      </c>
      <c r="D18" s="6"/>
      <c r="E18" s="6"/>
      <c r="F18" s="6"/>
      <c r="G18" s="6"/>
      <c r="H18" s="6"/>
      <c r="I18" s="6"/>
      <c r="J18" s="6"/>
      <c r="K18" s="6" t="n">
        <f aca="false">'Laundry 2'!$D$11</f>
        <v>3781.39</v>
      </c>
    </row>
    <row r="19" customFormat="false" ht="15" hidden="false" customHeight="false" outlineLevel="0" collapsed="false">
      <c r="A19" s="5" t="s">
        <v>15</v>
      </c>
      <c r="B19" s="5" t="s">
        <v>27</v>
      </c>
      <c r="C19" s="6" t="n">
        <f aca="false">SUM(D19:K19)</f>
        <v>3131.05</v>
      </c>
      <c r="D19" s="6"/>
      <c r="E19" s="6"/>
      <c r="F19" s="6"/>
      <c r="G19" s="6"/>
      <c r="H19" s="6"/>
      <c r="I19" s="6"/>
      <c r="J19" s="6"/>
      <c r="K19" s="6" t="n">
        <f aca="false">'Laundry 2'!$D$12</f>
        <v>3131.05</v>
      </c>
    </row>
    <row r="20" customFormat="false" ht="15" hidden="false" customHeight="false" outlineLevel="0" collapsed="false">
      <c r="A20" s="7"/>
      <c r="B20" s="8" t="s">
        <v>28</v>
      </c>
      <c r="C20" s="9" t="n">
        <f aca="false">SUM(C8:C19)</f>
        <v>2785254</v>
      </c>
      <c r="D20" s="9" t="n">
        <f aca="false">SUM(D8:D19)</f>
        <v>312303.13</v>
      </c>
      <c r="E20" s="9" t="n">
        <f aca="false">SUM(E8:E19)</f>
        <v>477465.65</v>
      </c>
      <c r="F20" s="9" t="n">
        <f aca="false">SUM(F8:F19)</f>
        <v>477465.65</v>
      </c>
      <c r="G20" s="9" t="n">
        <f aca="false">SUM(G8:G19)</f>
        <v>493449.3</v>
      </c>
      <c r="H20" s="9" t="n">
        <f aca="false">SUM(H8:H19)</f>
        <v>477465.65</v>
      </c>
      <c r="I20" s="9" t="n">
        <f aca="false">SUM(I8:I19)</f>
        <v>477465.65</v>
      </c>
      <c r="J20" s="9" t="n">
        <f aca="false">SUM(J8:J19)</f>
        <v>32251.52</v>
      </c>
      <c r="K20" s="9" t="n">
        <f aca="false">SUM(K8:K19)</f>
        <v>37387.45</v>
      </c>
    </row>
    <row r="22" customFormat="false" ht="15" hidden="false" customHeight="false" outlineLevel="0" collapsed="false">
      <c r="B22" s="10" t="s">
        <v>29</v>
      </c>
    </row>
    <row r="23" customFormat="false" ht="15" hidden="false" customHeight="false" outlineLevel="0" collapsed="false">
      <c r="A23" s="5" t="s">
        <v>15</v>
      </c>
      <c r="B23" s="5" t="s">
        <v>30</v>
      </c>
      <c r="C23" s="6" t="n">
        <f aca="false">SUM(D23:K23)</f>
        <v>182460.43</v>
      </c>
      <c r="D23" s="6" t="n">
        <f aca="false">Site!$D$17</f>
        <v>182460.43</v>
      </c>
      <c r="E23" s="6"/>
      <c r="F23" s="6"/>
      <c r="G23" s="6"/>
      <c r="H23" s="6"/>
      <c r="I23" s="6"/>
      <c r="J23" s="6"/>
      <c r="K23" s="6"/>
    </row>
    <row r="24" customFormat="false" ht="15" hidden="false" customHeight="false" outlineLevel="0" collapsed="false">
      <c r="A24" s="5" t="s">
        <v>15</v>
      </c>
      <c r="B24" s="5" t="s">
        <v>31</v>
      </c>
      <c r="C24" s="6" t="n">
        <f aca="false">SUM(D24:K24)</f>
        <v>72102.05</v>
      </c>
      <c r="D24" s="6" t="n">
        <f aca="false">Site!$D$18</f>
        <v>72102.05</v>
      </c>
      <c r="E24" s="6"/>
      <c r="F24" s="6"/>
      <c r="G24" s="6"/>
      <c r="H24" s="6"/>
      <c r="I24" s="6"/>
      <c r="J24" s="6"/>
      <c r="K24" s="6"/>
    </row>
    <row r="25" customFormat="false" ht="15" hidden="false" customHeight="false" outlineLevel="0" collapsed="false">
      <c r="A25" s="5" t="s">
        <v>15</v>
      </c>
      <c r="B25" s="5" t="s">
        <v>32</v>
      </c>
      <c r="C25" s="6" t="n">
        <f aca="false">SUM(D25:K25)</f>
        <v>22639.97</v>
      </c>
      <c r="D25" s="6" t="n">
        <f aca="false">Site!$D$19</f>
        <v>22639.97</v>
      </c>
      <c r="E25" s="6"/>
      <c r="F25" s="6"/>
      <c r="G25" s="6"/>
      <c r="H25" s="6"/>
      <c r="I25" s="6"/>
      <c r="J25" s="6"/>
      <c r="K25" s="6"/>
    </row>
    <row r="26" customFormat="false" ht="15" hidden="false" customHeight="false" outlineLevel="0" collapsed="false">
      <c r="A26" s="5" t="s">
        <v>15</v>
      </c>
      <c r="B26" s="5" t="s">
        <v>33</v>
      </c>
      <c r="C26" s="6" t="n">
        <f aca="false">SUM(D26:K26)</f>
        <v>8946.53</v>
      </c>
      <c r="D26" s="6" t="n">
        <f aca="false">Site!$D$20</f>
        <v>8946.53</v>
      </c>
      <c r="E26" s="6"/>
      <c r="F26" s="6"/>
      <c r="G26" s="6"/>
      <c r="H26" s="6"/>
      <c r="I26" s="6"/>
      <c r="J26" s="6"/>
      <c r="K26" s="6"/>
    </row>
    <row r="27" customFormat="false" ht="15" hidden="false" customHeight="false" outlineLevel="0" collapsed="false">
      <c r="A27" s="5" t="s">
        <v>15</v>
      </c>
      <c r="B27" s="5" t="s">
        <v>34</v>
      </c>
      <c r="C27" s="6" t="n">
        <f aca="false">SUM(D27:K27)</f>
        <v>18746.27</v>
      </c>
      <c r="D27" s="6" t="n">
        <f aca="false">Site!$D$21</f>
        <v>18746.27</v>
      </c>
      <c r="E27" s="6"/>
      <c r="F27" s="6"/>
      <c r="G27" s="6"/>
      <c r="H27" s="6"/>
      <c r="I27" s="6"/>
      <c r="J27" s="6"/>
      <c r="K27" s="6"/>
    </row>
    <row r="28" customFormat="false" ht="15" hidden="false" customHeight="false" outlineLevel="0" collapsed="false">
      <c r="A28" s="5" t="s">
        <v>15</v>
      </c>
      <c r="B28" s="5" t="s">
        <v>35</v>
      </c>
      <c r="C28" s="6" t="n">
        <f aca="false">SUM(D28:K28)</f>
        <v>7407.88</v>
      </c>
      <c r="D28" s="6" t="n">
        <f aca="false">Site!$D$22</f>
        <v>7407.88</v>
      </c>
      <c r="E28" s="6"/>
      <c r="F28" s="6"/>
      <c r="G28" s="6"/>
      <c r="H28" s="6"/>
      <c r="I28" s="6"/>
      <c r="J28" s="6"/>
      <c r="K28" s="6"/>
    </row>
    <row r="29" customFormat="false" ht="15" hidden="false" customHeight="false" outlineLevel="0" collapsed="false">
      <c r="A29" s="5" t="s">
        <v>15</v>
      </c>
      <c r="B29" s="5" t="s">
        <v>36</v>
      </c>
      <c r="C29" s="6" t="n">
        <f aca="false">SUM(D29:K29)</f>
        <v>503004.03</v>
      </c>
      <c r="D29" s="6"/>
      <c r="E29" s="6" t="n">
        <f aca="false">'Apartments 1-16'!$D$17</f>
        <v>99963.17</v>
      </c>
      <c r="F29" s="6" t="n">
        <f aca="false">'Apartments 17-32'!$D$17</f>
        <v>99963.17</v>
      </c>
      <c r="G29" s="6" t="n">
        <f aca="false">'Apartments 33-48'!$D$17</f>
        <v>103151.35</v>
      </c>
      <c r="H29" s="6" t="n">
        <f aca="false">'Apartments 49-64'!$D$17</f>
        <v>99963.17</v>
      </c>
      <c r="I29" s="6" t="n">
        <f aca="false">'Apartments 64-80'!$D$17</f>
        <v>99963.17</v>
      </c>
      <c r="J29" s="6"/>
      <c r="K29" s="6"/>
    </row>
    <row r="30" customFormat="false" ht="15" hidden="false" customHeight="false" outlineLevel="0" collapsed="false">
      <c r="A30" s="5" t="s">
        <v>15</v>
      </c>
      <c r="B30" s="5" t="s">
        <v>37</v>
      </c>
      <c r="C30" s="6" t="n">
        <f aca="false">SUM(D30:K30)</f>
        <v>1455967.81</v>
      </c>
      <c r="D30" s="6"/>
      <c r="E30" s="6" t="n">
        <f aca="false">'Apartments 1-16'!$D$18</f>
        <v>289225.5</v>
      </c>
      <c r="F30" s="6" t="n">
        <f aca="false">'Apartments 17-32'!$D$18</f>
        <v>289225.5</v>
      </c>
      <c r="G30" s="6" t="n">
        <f aca="false">'Apartments 33-48'!$D$18</f>
        <v>299065.81</v>
      </c>
      <c r="H30" s="6" t="n">
        <f aca="false">'Apartments 49-64'!$D$18</f>
        <v>289225.5</v>
      </c>
      <c r="I30" s="6" t="n">
        <f aca="false">'Apartments 64-80'!$D$18</f>
        <v>289225.5</v>
      </c>
      <c r="J30" s="6"/>
      <c r="K30" s="6"/>
    </row>
    <row r="31" customFormat="false" ht="15" hidden="false" customHeight="false" outlineLevel="0" collapsed="false">
      <c r="A31" s="5" t="s">
        <v>15</v>
      </c>
      <c r="B31" s="5" t="s">
        <v>38</v>
      </c>
      <c r="C31" s="6" t="n">
        <f aca="false">SUM(D31:K31)</f>
        <v>62413.49</v>
      </c>
      <c r="D31" s="6"/>
      <c r="E31" s="6" t="n">
        <f aca="false">'Apartments 1-16'!$D$19</f>
        <v>12403.58</v>
      </c>
      <c r="F31" s="6" t="n">
        <f aca="false">'Apartments 17-32'!$D$19</f>
        <v>12403.58</v>
      </c>
      <c r="G31" s="6" t="n">
        <f aca="false">'Apartments 33-48'!$D$19</f>
        <v>12799.17</v>
      </c>
      <c r="H31" s="6" t="n">
        <f aca="false">'Apartments 49-64'!$D$19</f>
        <v>12403.58</v>
      </c>
      <c r="I31" s="6" t="n">
        <f aca="false">'Apartments 64-80'!$D$19</f>
        <v>12403.58</v>
      </c>
      <c r="J31" s="6"/>
      <c r="K31" s="6"/>
    </row>
    <row r="32" customFormat="false" ht="15" hidden="false" customHeight="false" outlineLevel="0" collapsed="false">
      <c r="A32" s="5" t="s">
        <v>15</v>
      </c>
      <c r="B32" s="5" t="s">
        <v>39</v>
      </c>
      <c r="C32" s="6" t="n">
        <f aca="false">SUM(D32:K32)</f>
        <v>180658.7</v>
      </c>
      <c r="D32" s="6"/>
      <c r="E32" s="6" t="n">
        <f aca="false">'Apartments 1-16'!$D$20</f>
        <v>35887.54</v>
      </c>
      <c r="F32" s="6" t="n">
        <f aca="false">'Apartments 17-32'!$D$20</f>
        <v>35887.54</v>
      </c>
      <c r="G32" s="6" t="n">
        <f aca="false">'Apartments 33-48'!$D$20</f>
        <v>37108.54</v>
      </c>
      <c r="H32" s="6" t="n">
        <f aca="false">'Apartments 49-64'!$D$20</f>
        <v>35887.54</v>
      </c>
      <c r="I32" s="6" t="n">
        <f aca="false">'Apartments 64-80'!$D$20</f>
        <v>35887.54</v>
      </c>
      <c r="J32" s="6"/>
      <c r="K32" s="6"/>
    </row>
    <row r="33" customFormat="false" ht="15" hidden="false" customHeight="false" outlineLevel="0" collapsed="false">
      <c r="A33" s="5" t="s">
        <v>15</v>
      </c>
      <c r="B33" s="5" t="s">
        <v>40</v>
      </c>
      <c r="C33" s="6" t="n">
        <f aca="false">SUM(D33:K33)</f>
        <v>51679.42</v>
      </c>
      <c r="D33" s="6"/>
      <c r="E33" s="6" t="n">
        <f aca="false">'Apartments 1-16'!$D$21</f>
        <v>10270.37</v>
      </c>
      <c r="F33" s="6" t="n">
        <f aca="false">'Apartments 17-32'!$D$21</f>
        <v>10270.37</v>
      </c>
      <c r="G33" s="6" t="n">
        <f aca="false">'Apartments 33-48'!$D$21</f>
        <v>10597.94</v>
      </c>
      <c r="H33" s="6" t="n">
        <f aca="false">'Apartments 49-64'!$D$21</f>
        <v>10270.37</v>
      </c>
      <c r="I33" s="6" t="n">
        <f aca="false">'Apartments 64-80'!$D$21</f>
        <v>10270.37</v>
      </c>
      <c r="J33" s="6"/>
      <c r="K33" s="6"/>
    </row>
    <row r="34" customFormat="false" ht="15" hidden="false" customHeight="false" outlineLevel="0" collapsed="false">
      <c r="A34" s="5" t="s">
        <v>15</v>
      </c>
      <c r="B34" s="5" t="s">
        <v>41</v>
      </c>
      <c r="C34" s="6" t="n">
        <f aca="false">SUM(D34:K34)</f>
        <v>149588.45</v>
      </c>
      <c r="D34" s="6"/>
      <c r="E34" s="6" t="n">
        <f aca="false">'Apartments 1-16'!$D$22</f>
        <v>29715.49</v>
      </c>
      <c r="F34" s="6" t="n">
        <f aca="false">'Apartments 17-32'!$D$22</f>
        <v>29715.49</v>
      </c>
      <c r="G34" s="6" t="n">
        <f aca="false">'Apartments 33-48'!$D$22</f>
        <v>30726.49</v>
      </c>
      <c r="H34" s="6" t="n">
        <f aca="false">'Apartments 49-64'!$D$22</f>
        <v>29715.49</v>
      </c>
      <c r="I34" s="6" t="n">
        <f aca="false">'Apartments 64-80'!$D$22</f>
        <v>29715.49</v>
      </c>
      <c r="J34" s="6"/>
      <c r="K34" s="6"/>
    </row>
    <row r="35" customFormat="false" ht="15" hidden="false" customHeight="false" outlineLevel="0" collapsed="false">
      <c r="A35" s="5" t="s">
        <v>15</v>
      </c>
      <c r="B35" s="5" t="s">
        <v>42</v>
      </c>
      <c r="C35" s="6" t="n">
        <f aca="false">SUM(D35:K35)</f>
        <v>6825.37</v>
      </c>
      <c r="D35" s="6"/>
      <c r="E35" s="6"/>
      <c r="F35" s="6"/>
      <c r="G35" s="6"/>
      <c r="H35" s="6"/>
      <c r="I35" s="6"/>
      <c r="J35" s="6" t="n">
        <f aca="false">'Laundry 1'!$D$17</f>
        <v>6825.37</v>
      </c>
      <c r="K35" s="6"/>
    </row>
    <row r="36" customFormat="false" ht="15" hidden="false" customHeight="false" outlineLevel="0" collapsed="false">
      <c r="A36" s="5" t="s">
        <v>15</v>
      </c>
      <c r="B36" s="5" t="s">
        <v>43</v>
      </c>
      <c r="C36" s="6" t="n">
        <f aca="false">SUM(D36:K36)</f>
        <v>19463.3</v>
      </c>
      <c r="D36" s="6"/>
      <c r="E36" s="6"/>
      <c r="F36" s="6"/>
      <c r="G36" s="6"/>
      <c r="H36" s="6"/>
      <c r="I36" s="6"/>
      <c r="J36" s="6" t="n">
        <f aca="false">'Laundry 1'!$D$18</f>
        <v>19463.3</v>
      </c>
      <c r="K36" s="6"/>
    </row>
    <row r="37" customFormat="false" ht="15" hidden="false" customHeight="false" outlineLevel="0" collapsed="false">
      <c r="A37" s="5" t="s">
        <v>15</v>
      </c>
      <c r="B37" s="5" t="s">
        <v>44</v>
      </c>
      <c r="C37" s="6" t="n">
        <f aca="false">SUM(D37:K37)</f>
        <v>846.9</v>
      </c>
      <c r="D37" s="6"/>
      <c r="E37" s="6"/>
      <c r="F37" s="6"/>
      <c r="G37" s="6"/>
      <c r="H37" s="6"/>
      <c r="I37" s="6"/>
      <c r="J37" s="6" t="n">
        <f aca="false">'Laundry 1'!$D$19</f>
        <v>846.9</v>
      </c>
      <c r="K37" s="6"/>
    </row>
    <row r="38" customFormat="false" ht="15" hidden="false" customHeight="false" outlineLevel="0" collapsed="false">
      <c r="A38" s="5" t="s">
        <v>15</v>
      </c>
      <c r="B38" s="5" t="s">
        <v>45</v>
      </c>
      <c r="C38" s="6" t="n">
        <f aca="false">SUM(D38:K38)</f>
        <v>2415.02</v>
      </c>
      <c r="D38" s="6"/>
      <c r="E38" s="6"/>
      <c r="F38" s="6"/>
      <c r="G38" s="6"/>
      <c r="H38" s="6"/>
      <c r="I38" s="6"/>
      <c r="J38" s="6" t="n">
        <f aca="false">'Laundry 1'!$D$20</f>
        <v>2415.02</v>
      </c>
      <c r="K38" s="6"/>
    </row>
    <row r="39" customFormat="false" ht="15" hidden="false" customHeight="false" outlineLevel="0" collapsed="false">
      <c r="A39" s="5" t="s">
        <v>15</v>
      </c>
      <c r="B39" s="5" t="s">
        <v>46</v>
      </c>
      <c r="C39" s="6" t="n">
        <f aca="false">SUM(D39:K39)</f>
        <v>701.24</v>
      </c>
      <c r="D39" s="6"/>
      <c r="E39" s="6"/>
      <c r="F39" s="6"/>
      <c r="G39" s="6"/>
      <c r="H39" s="6"/>
      <c r="I39" s="6"/>
      <c r="J39" s="6" t="n">
        <f aca="false">'Laundry 1'!$D$21</f>
        <v>701.24</v>
      </c>
      <c r="K39" s="6"/>
    </row>
    <row r="40" customFormat="false" ht="15" hidden="false" customHeight="false" outlineLevel="0" collapsed="false">
      <c r="A40" s="5" t="s">
        <v>15</v>
      </c>
      <c r="B40" s="5" t="s">
        <v>47</v>
      </c>
      <c r="C40" s="6" t="n">
        <f aca="false">SUM(D40:K40)</f>
        <v>1999.69</v>
      </c>
      <c r="D40" s="6"/>
      <c r="E40" s="6"/>
      <c r="F40" s="6"/>
      <c r="G40" s="6"/>
      <c r="H40" s="6"/>
      <c r="I40" s="6"/>
      <c r="J40" s="6" t="n">
        <f aca="false">'Laundry 1'!$D$22</f>
        <v>1999.69</v>
      </c>
      <c r="K40" s="6"/>
    </row>
    <row r="41" customFormat="false" ht="15" hidden="false" customHeight="false" outlineLevel="0" collapsed="false">
      <c r="A41" s="5" t="s">
        <v>15</v>
      </c>
      <c r="B41" s="5" t="s">
        <v>48</v>
      </c>
      <c r="C41" s="6" t="n">
        <f aca="false">SUM(D41:K41)</f>
        <v>11011.74</v>
      </c>
      <c r="D41" s="6"/>
      <c r="E41" s="6"/>
      <c r="F41" s="6"/>
      <c r="G41" s="6"/>
      <c r="H41" s="6"/>
      <c r="I41" s="6"/>
      <c r="J41" s="6"/>
      <c r="K41" s="6" t="n">
        <f aca="false">'Laundry 2'!$D$17</f>
        <v>11011.74</v>
      </c>
    </row>
    <row r="42" customFormat="false" ht="15" hidden="false" customHeight="false" outlineLevel="0" collapsed="false">
      <c r="A42" s="5" t="s">
        <v>15</v>
      </c>
      <c r="B42" s="5" t="s">
        <v>49</v>
      </c>
      <c r="C42" s="6" t="n">
        <f aca="false">SUM(D42:K42)</f>
        <v>19463.27</v>
      </c>
      <c r="D42" s="6"/>
      <c r="E42" s="6"/>
      <c r="F42" s="6"/>
      <c r="G42" s="6"/>
      <c r="H42" s="6"/>
      <c r="I42" s="6"/>
      <c r="J42" s="6"/>
      <c r="K42" s="6" t="n">
        <f aca="false">'Laundry 2'!$D$18</f>
        <v>19463.27</v>
      </c>
    </row>
    <row r="43" customFormat="false" ht="15" hidden="false" customHeight="false" outlineLevel="0" collapsed="false">
      <c r="A43" s="5" t="s">
        <v>15</v>
      </c>
      <c r="B43" s="5" t="s">
        <v>50</v>
      </c>
      <c r="C43" s="6" t="n">
        <f aca="false">SUM(D43:K43)</f>
        <v>1366.36</v>
      </c>
      <c r="D43" s="6"/>
      <c r="E43" s="6"/>
      <c r="F43" s="6"/>
      <c r="G43" s="6"/>
      <c r="H43" s="6"/>
      <c r="I43" s="6"/>
      <c r="J43" s="6"/>
      <c r="K43" s="6" t="n">
        <f aca="false">'Laundry 2'!$D$19</f>
        <v>1366.36</v>
      </c>
    </row>
    <row r="44" customFormat="false" ht="15" hidden="false" customHeight="false" outlineLevel="0" collapsed="false">
      <c r="A44" s="5" t="s">
        <v>15</v>
      </c>
      <c r="B44" s="5" t="s">
        <v>51</v>
      </c>
      <c r="C44" s="6" t="n">
        <f aca="false">SUM(D44:K44)</f>
        <v>2415.03</v>
      </c>
      <c r="D44" s="6"/>
      <c r="E44" s="6"/>
      <c r="F44" s="6"/>
      <c r="G44" s="6"/>
      <c r="H44" s="6"/>
      <c r="I44" s="6"/>
      <c r="J44" s="6"/>
      <c r="K44" s="6" t="n">
        <f aca="false">'Laundry 2'!$D$20</f>
        <v>2415.03</v>
      </c>
    </row>
    <row r="45" customFormat="false" ht="15" hidden="false" customHeight="false" outlineLevel="0" collapsed="false">
      <c r="A45" s="5" t="s">
        <v>15</v>
      </c>
      <c r="B45" s="5" t="s">
        <v>52</v>
      </c>
      <c r="C45" s="6" t="n">
        <f aca="false">SUM(D45:K45)</f>
        <v>1131.36</v>
      </c>
      <c r="D45" s="6"/>
      <c r="E45" s="6"/>
      <c r="F45" s="6"/>
      <c r="G45" s="6"/>
      <c r="H45" s="6"/>
      <c r="I45" s="6"/>
      <c r="J45" s="6"/>
      <c r="K45" s="6" t="n">
        <f aca="false">'Laundry 2'!$D$21</f>
        <v>1131.36</v>
      </c>
    </row>
    <row r="46" customFormat="false" ht="15" hidden="false" customHeight="false" outlineLevel="0" collapsed="false">
      <c r="A46" s="5" t="s">
        <v>15</v>
      </c>
      <c r="B46" s="5" t="s">
        <v>53</v>
      </c>
      <c r="C46" s="6" t="n">
        <f aca="false">SUM(D46:K46)</f>
        <v>1999.69</v>
      </c>
      <c r="D46" s="6"/>
      <c r="E46" s="6"/>
      <c r="F46" s="6"/>
      <c r="G46" s="6"/>
      <c r="H46" s="6"/>
      <c r="I46" s="6"/>
      <c r="J46" s="6"/>
      <c r="K46" s="6" t="n">
        <f aca="false">'Laundry 2'!$D$22</f>
        <v>1999.69</v>
      </c>
    </row>
    <row r="47" customFormat="false" ht="15" hidden="false" customHeight="false" outlineLevel="0" collapsed="false">
      <c r="A47" s="7"/>
      <c r="B47" s="8" t="s">
        <v>54</v>
      </c>
      <c r="C47" s="9" t="n">
        <f aca="false">SUM(C23:C46)</f>
        <v>2785254</v>
      </c>
      <c r="D47" s="9" t="n">
        <f aca="false">SUM(D23:D46)</f>
        <v>312303.13</v>
      </c>
      <c r="E47" s="9" t="n">
        <f aca="false">SUM(E23:E46)</f>
        <v>477465.65</v>
      </c>
      <c r="F47" s="9" t="n">
        <f aca="false">SUM(F23:F46)</f>
        <v>477465.65</v>
      </c>
      <c r="G47" s="9" t="n">
        <f aca="false">SUM(G23:G46)</f>
        <v>493449.3</v>
      </c>
      <c r="H47" s="9" t="n">
        <f aca="false">SUM(H23:H46)</f>
        <v>477465.65</v>
      </c>
      <c r="I47" s="9" t="n">
        <f aca="false">SUM(I23:I46)</f>
        <v>477465.65</v>
      </c>
      <c r="J47" s="9" t="n">
        <f aca="false">SUM(J23:J46)</f>
        <v>32251.52</v>
      </c>
      <c r="K47" s="9" t="n">
        <f aca="false">SUM(K23:K46)</f>
        <v>37387.45</v>
      </c>
    </row>
    <row r="48" customFormat="false" ht="15" hidden="false" customHeight="false" outlineLevel="0" collapsed="false">
      <c r="B48" s="11" t="s">
        <v>55</v>
      </c>
      <c r="C48" s="12" t="n">
        <f aca="false">C20-C47</f>
        <v>0</v>
      </c>
      <c r="D48" s="12" t="n">
        <f aca="false">D20-D47</f>
        <v>0</v>
      </c>
      <c r="E48" s="12" t="n">
        <f aca="false">E20-E47</f>
        <v>0</v>
      </c>
      <c r="F48" s="12" t="n">
        <f aca="false">F20-F47</f>
        <v>0</v>
      </c>
      <c r="G48" s="12" t="n">
        <f aca="false">G20-G47</f>
        <v>0</v>
      </c>
      <c r="H48" s="12" t="n">
        <f aca="false">H20-H47</f>
        <v>0</v>
      </c>
      <c r="I48" s="12" t="n">
        <f aca="false">I20-I47</f>
        <v>0</v>
      </c>
      <c r="J48" s="12" t="n">
        <f aca="false">J20-J47</f>
        <v>0</v>
      </c>
      <c r="K48" s="12" t="n">
        <f aca="false">K20-K47</f>
        <v>0</v>
      </c>
    </row>
    <row r="50" customFormat="false" ht="15" hidden="false" customHeight="false" outlineLevel="0" collapsed="false">
      <c r="B50" s="10" t="s">
        <v>56</v>
      </c>
    </row>
    <row r="51" customFormat="false" ht="15" hidden="false" customHeight="false" outlineLevel="0" collapsed="false">
      <c r="B51" s="11" t="s">
        <v>57</v>
      </c>
      <c r="C51" s="12" t="n">
        <f aca="false">SUM(D51:K51)</f>
        <v>1115247</v>
      </c>
      <c r="D51" s="12" t="n">
        <f aca="false">Site!$I$13</f>
        <v>124161.86</v>
      </c>
      <c r="E51" s="12" t="n">
        <f aca="false">'Apartments 1-16'!$I$13</f>
        <v>191354.03</v>
      </c>
      <c r="F51" s="12" t="n">
        <f aca="false">'Apartments 17-32'!$I$13</f>
        <v>191354.03</v>
      </c>
      <c r="G51" s="12" t="n">
        <f aca="false">'Apartments 33-48'!$I$13</f>
        <v>197759.81</v>
      </c>
      <c r="H51" s="12" t="n">
        <f aca="false">'Apartments 49-64'!$I$13</f>
        <v>191354.03</v>
      </c>
      <c r="I51" s="12" t="n">
        <f aca="false">'Apartments 64-80'!$I$13</f>
        <v>191354.03</v>
      </c>
      <c r="J51" s="12" t="n">
        <f aca="false">'Laundry 1'!$I$13</f>
        <v>12925.43</v>
      </c>
      <c r="K51" s="12" t="n">
        <f aca="false">'Laundry 2'!$I$13</f>
        <v>14983.78</v>
      </c>
    </row>
    <row r="52" customFormat="false" ht="15" hidden="false" customHeight="false" outlineLevel="0" collapsed="false">
      <c r="B52" s="5" t="s">
        <v>30</v>
      </c>
      <c r="C52" s="6" t="n">
        <f aca="false">SUM(D52:K52)</f>
        <v>112428.75</v>
      </c>
      <c r="D52" s="6" t="n">
        <f aca="false">Site!$I$17</f>
        <v>112428.75</v>
      </c>
      <c r="E52" s="6"/>
      <c r="F52" s="6"/>
      <c r="G52" s="6"/>
      <c r="H52" s="6"/>
      <c r="I52" s="6"/>
      <c r="J52" s="6"/>
      <c r="K52" s="6"/>
    </row>
    <row r="53" customFormat="false" ht="15" hidden="false" customHeight="false" outlineLevel="0" collapsed="false">
      <c r="B53" s="5" t="s">
        <v>31</v>
      </c>
      <c r="C53" s="6" t="n">
        <f aca="false">SUM(D53:K53)</f>
        <v>22395.31</v>
      </c>
      <c r="D53" s="6" t="n">
        <f aca="false">Site!$I$18</f>
        <v>22395.31</v>
      </c>
      <c r="E53" s="6"/>
      <c r="F53" s="6"/>
      <c r="G53" s="6"/>
      <c r="H53" s="6"/>
      <c r="I53" s="6"/>
      <c r="J53" s="6"/>
      <c r="K53" s="6"/>
    </row>
    <row r="54" customFormat="false" ht="15" hidden="false" customHeight="false" outlineLevel="0" collapsed="false">
      <c r="B54" s="5" t="s">
        <v>32</v>
      </c>
      <c r="C54" s="6" t="n">
        <f aca="false">SUM(D54:K54)</f>
        <v>13950.35</v>
      </c>
      <c r="D54" s="6" t="n">
        <f aca="false">Site!$I$19</f>
        <v>13950.35</v>
      </c>
      <c r="E54" s="6"/>
      <c r="F54" s="6"/>
      <c r="G54" s="6"/>
      <c r="H54" s="6"/>
      <c r="I54" s="6"/>
      <c r="J54" s="6"/>
      <c r="K54" s="6"/>
    </row>
    <row r="55" customFormat="false" ht="15" hidden="false" customHeight="false" outlineLevel="0" collapsed="false">
      <c r="B55" s="5" t="s">
        <v>33</v>
      </c>
      <c r="C55" s="6" t="n">
        <f aca="false">SUM(D55:K55)</f>
        <v>2778.86</v>
      </c>
      <c r="D55" s="6" t="n">
        <f aca="false">Site!$I$20</f>
        <v>2778.86</v>
      </c>
      <c r="E55" s="6"/>
      <c r="F55" s="6"/>
      <c r="G55" s="6"/>
      <c r="H55" s="6"/>
      <c r="I55" s="6"/>
      <c r="J55" s="6"/>
      <c r="K55" s="6"/>
    </row>
    <row r="56" customFormat="false" ht="15" hidden="false" customHeight="false" outlineLevel="0" collapsed="false">
      <c r="B56" s="5" t="s">
        <v>34</v>
      </c>
      <c r="C56" s="6" t="n">
        <f aca="false">SUM(D56:K56)</f>
        <v>11551.12</v>
      </c>
      <c r="D56" s="6" t="n">
        <f aca="false">Site!$I$21</f>
        <v>11551.12</v>
      </c>
      <c r="E56" s="6"/>
      <c r="F56" s="6"/>
      <c r="G56" s="6"/>
      <c r="H56" s="6"/>
      <c r="I56" s="6"/>
      <c r="J56" s="6"/>
      <c r="K56" s="6"/>
    </row>
    <row r="57" customFormat="false" ht="15" hidden="false" customHeight="false" outlineLevel="0" collapsed="false">
      <c r="B57" s="5" t="s">
        <v>35</v>
      </c>
      <c r="C57" s="6" t="n">
        <f aca="false">SUM(D57:K57)</f>
        <v>2300.95</v>
      </c>
      <c r="D57" s="6" t="n">
        <f aca="false">Site!$I$22</f>
        <v>2300.95</v>
      </c>
      <c r="E57" s="6"/>
      <c r="F57" s="6"/>
      <c r="G57" s="6"/>
      <c r="H57" s="6"/>
      <c r="I57" s="6"/>
      <c r="J57" s="6"/>
      <c r="K57" s="6"/>
    </row>
    <row r="58" customFormat="false" ht="15" hidden="false" customHeight="false" outlineLevel="0" collapsed="false">
      <c r="B58" s="5" t="s">
        <v>36</v>
      </c>
      <c r="C58" s="6" t="n">
        <f aca="false">SUM(D58:K58)</f>
        <v>503004.03</v>
      </c>
      <c r="D58" s="6"/>
      <c r="E58" s="6" t="n">
        <f aca="false">'Apartments 1-16'!$I$17</f>
        <v>99963.17</v>
      </c>
      <c r="F58" s="6" t="n">
        <f aca="false">'Apartments 17-32'!$I$17</f>
        <v>99963.17</v>
      </c>
      <c r="G58" s="6" t="n">
        <f aca="false">'Apartments 33-48'!$I$17</f>
        <v>103151.35</v>
      </c>
      <c r="H58" s="6" t="n">
        <f aca="false">'Apartments 49-64'!$I$17</f>
        <v>99963.17</v>
      </c>
      <c r="I58" s="6" t="n">
        <f aca="false">'Apartments 64-80'!$I$17</f>
        <v>99963.17</v>
      </c>
      <c r="J58" s="6"/>
      <c r="K58" s="6"/>
    </row>
    <row r="59" customFormat="false" ht="15" hidden="false" customHeight="false" outlineLevel="0" collapsed="false">
      <c r="B59" s="5" t="s">
        <v>37</v>
      </c>
      <c r="C59" s="6" t="n">
        <f aca="false">SUM(D59:K59)</f>
        <v>561929.25</v>
      </c>
      <c r="D59" s="6"/>
      <c r="E59" s="6" t="n">
        <f aca="false">'Apartments 1-16'!$I$18</f>
        <v>117259.4</v>
      </c>
      <c r="F59" s="6" t="n">
        <f aca="false">'Apartments 17-32'!$I$18</f>
        <v>117259.4</v>
      </c>
      <c r="G59" s="6" t="n">
        <f aca="false">'Apartments 33-48'!$I$18</f>
        <v>92891.65</v>
      </c>
      <c r="H59" s="6" t="n">
        <f aca="false">'Apartments 49-64'!$I$18</f>
        <v>117259.4</v>
      </c>
      <c r="I59" s="6" t="n">
        <f aca="false">'Apartments 64-80'!$I$18</f>
        <v>117259.4</v>
      </c>
      <c r="J59" s="6"/>
      <c r="K59" s="6"/>
    </row>
    <row r="60" customFormat="false" ht="15" hidden="false" customHeight="false" outlineLevel="0" collapsed="false">
      <c r="B60" s="5" t="s">
        <v>38</v>
      </c>
      <c r="C60" s="6" t="n">
        <f aca="false">SUM(D60:K60)</f>
        <v>62413.49</v>
      </c>
      <c r="D60" s="6"/>
      <c r="E60" s="6" t="n">
        <f aca="false">'Apartments 1-16'!$I$19</f>
        <v>12403.58</v>
      </c>
      <c r="F60" s="6" t="n">
        <f aca="false">'Apartments 17-32'!$I$19</f>
        <v>12403.58</v>
      </c>
      <c r="G60" s="6" t="n">
        <f aca="false">'Apartments 33-48'!$I$19</f>
        <v>12799.17</v>
      </c>
      <c r="H60" s="6" t="n">
        <f aca="false">'Apartments 49-64'!$I$19</f>
        <v>12403.58</v>
      </c>
      <c r="I60" s="6" t="n">
        <f aca="false">'Apartments 64-80'!$I$19</f>
        <v>12403.58</v>
      </c>
      <c r="J60" s="6"/>
      <c r="K60" s="6"/>
    </row>
    <row r="61" customFormat="false" ht="15" hidden="false" customHeight="false" outlineLevel="0" collapsed="false">
      <c r="B61" s="5" t="s">
        <v>39</v>
      </c>
      <c r="C61" s="6" t="n">
        <f aca="false">SUM(D61:K61)</f>
        <v>56113.65</v>
      </c>
      <c r="D61" s="6"/>
      <c r="E61" s="6" t="n">
        <f aca="false">'Apartments 1-16'!$I$20</f>
        <v>11146.88</v>
      </c>
      <c r="F61" s="6" t="n">
        <f aca="false">'Apartments 17-32'!$I$20</f>
        <v>11146.88</v>
      </c>
      <c r="G61" s="6" t="n">
        <f aca="false">'Apartments 33-48'!$I$20</f>
        <v>11526.13</v>
      </c>
      <c r="H61" s="6" t="n">
        <f aca="false">'Apartments 49-64'!$I$20</f>
        <v>11146.88</v>
      </c>
      <c r="I61" s="6" t="n">
        <f aca="false">'Apartments 64-80'!$I$20</f>
        <v>11146.88</v>
      </c>
      <c r="J61" s="6"/>
      <c r="K61" s="6"/>
    </row>
    <row r="62" customFormat="false" ht="15" hidden="false" customHeight="false" outlineLevel="0" collapsed="false">
      <c r="B62" s="5" t="s">
        <v>40</v>
      </c>
      <c r="C62" s="6" t="n">
        <f aca="false">SUM(D62:K62)</f>
        <v>51679.42</v>
      </c>
      <c r="D62" s="6"/>
      <c r="E62" s="6" t="n">
        <f aca="false">'Apartments 1-16'!$I$21</f>
        <v>10270.37</v>
      </c>
      <c r="F62" s="6" t="n">
        <f aca="false">'Apartments 17-32'!$I$21</f>
        <v>10270.37</v>
      </c>
      <c r="G62" s="6" t="n">
        <f aca="false">'Apartments 33-48'!$I$21</f>
        <v>10597.94</v>
      </c>
      <c r="H62" s="6" t="n">
        <f aca="false">'Apartments 49-64'!$I$21</f>
        <v>10270.37</v>
      </c>
      <c r="I62" s="6" t="n">
        <f aca="false">'Apartments 64-80'!$I$21</f>
        <v>10270.37</v>
      </c>
      <c r="J62" s="6"/>
      <c r="K62" s="6"/>
    </row>
    <row r="63" customFormat="false" ht="15" hidden="false" customHeight="false" outlineLevel="0" collapsed="false">
      <c r="B63" s="5" t="s">
        <v>41</v>
      </c>
      <c r="C63" s="6" t="n">
        <f aca="false">SUM(D63:K63)</f>
        <v>46463.02</v>
      </c>
      <c r="D63" s="6"/>
      <c r="E63" s="6" t="n">
        <f aca="false">'Apartments 1-16'!$I$22</f>
        <v>9229.79</v>
      </c>
      <c r="F63" s="6" t="n">
        <f aca="false">'Apartments 17-32'!$I$22</f>
        <v>9229.79</v>
      </c>
      <c r="G63" s="6" t="n">
        <f aca="false">'Apartments 33-48'!$I$22</f>
        <v>9543.86</v>
      </c>
      <c r="H63" s="6" t="n">
        <f aca="false">'Apartments 49-64'!$I$22</f>
        <v>9229.79</v>
      </c>
      <c r="I63" s="6" t="n">
        <f aca="false">'Apartments 64-80'!$I$22</f>
        <v>9229.79</v>
      </c>
      <c r="J63" s="6"/>
      <c r="K63" s="6"/>
    </row>
    <row r="64" customFormat="false" ht="15" hidden="false" customHeight="false" outlineLevel="0" collapsed="false">
      <c r="B64" s="5" t="s">
        <v>42</v>
      </c>
      <c r="C64" s="6" t="n">
        <f aca="false">SUM(D64:K64)</f>
        <v>6825.37</v>
      </c>
      <c r="D64" s="6"/>
      <c r="E64" s="6"/>
      <c r="F64" s="6"/>
      <c r="G64" s="6"/>
      <c r="H64" s="6"/>
      <c r="I64" s="6"/>
      <c r="J64" s="6" t="n">
        <f aca="false">'Laundry 1'!$I$17</f>
        <v>6825.37</v>
      </c>
      <c r="K64" s="6"/>
    </row>
    <row r="65" customFormat="false" ht="15" hidden="false" customHeight="false" outlineLevel="0" collapsed="false">
      <c r="B65" s="5" t="s">
        <v>43</v>
      </c>
      <c r="C65" s="6" t="n">
        <f aca="false">SUM(D65:K65)</f>
        <v>6045.45</v>
      </c>
      <c r="D65" s="6"/>
      <c r="E65" s="6"/>
      <c r="F65" s="6"/>
      <c r="G65" s="6"/>
      <c r="H65" s="6"/>
      <c r="I65" s="6"/>
      <c r="J65" s="6" t="n">
        <f aca="false">'Laundry 1'!$I$18</f>
        <v>6045.45</v>
      </c>
      <c r="K65" s="6"/>
    </row>
    <row r="66" customFormat="false" ht="15" hidden="false" customHeight="false" outlineLevel="0" collapsed="false">
      <c r="B66" s="5" t="s">
        <v>44</v>
      </c>
      <c r="C66" s="6" t="n">
        <f aca="false">SUM(D66:K66)</f>
        <v>846.9</v>
      </c>
      <c r="D66" s="6"/>
      <c r="E66" s="6"/>
      <c r="F66" s="6"/>
      <c r="G66" s="6"/>
      <c r="H66" s="6"/>
      <c r="I66" s="6"/>
      <c r="J66" s="6" t="n">
        <f aca="false">'Laundry 1'!$I$19</f>
        <v>846.9</v>
      </c>
      <c r="K66" s="6"/>
    </row>
    <row r="67" customFormat="false" ht="15" hidden="false" customHeight="false" outlineLevel="0" collapsed="false">
      <c r="B67" s="5" t="s">
        <v>45</v>
      </c>
      <c r="C67" s="6" t="n">
        <f aca="false">SUM(D67:K67)</f>
        <v>750.13</v>
      </c>
      <c r="D67" s="6"/>
      <c r="E67" s="6"/>
      <c r="F67" s="6"/>
      <c r="G67" s="6"/>
      <c r="H67" s="6"/>
      <c r="I67" s="6"/>
      <c r="J67" s="6" t="n">
        <f aca="false">'Laundry 1'!$I$20</f>
        <v>750.13</v>
      </c>
      <c r="K67" s="6"/>
    </row>
    <row r="68" customFormat="false" ht="15" hidden="false" customHeight="false" outlineLevel="0" collapsed="false">
      <c r="B68" s="5" t="s">
        <v>46</v>
      </c>
      <c r="C68" s="6" t="n">
        <f aca="false">SUM(D68:K68)</f>
        <v>701.24</v>
      </c>
      <c r="D68" s="6"/>
      <c r="E68" s="6"/>
      <c r="F68" s="6"/>
      <c r="G68" s="6"/>
      <c r="H68" s="6"/>
      <c r="I68" s="6"/>
      <c r="J68" s="6" t="n">
        <f aca="false">'Laundry 1'!$I$21</f>
        <v>701.24</v>
      </c>
      <c r="K68" s="6"/>
    </row>
    <row r="69" customFormat="false" ht="15" hidden="false" customHeight="false" outlineLevel="0" collapsed="false">
      <c r="B69" s="5" t="s">
        <v>47</v>
      </c>
      <c r="C69" s="6" t="n">
        <f aca="false">SUM(D69:K69)</f>
        <v>621.15</v>
      </c>
      <c r="D69" s="6"/>
      <c r="E69" s="6"/>
      <c r="F69" s="6"/>
      <c r="G69" s="6"/>
      <c r="H69" s="6"/>
      <c r="I69" s="6"/>
      <c r="J69" s="6" t="n">
        <f aca="false">'Laundry 1'!$I$22</f>
        <v>621.15</v>
      </c>
      <c r="K69" s="6"/>
    </row>
    <row r="70" customFormat="false" ht="15" hidden="false" customHeight="false" outlineLevel="0" collapsed="false">
      <c r="B70" s="5" t="s">
        <v>48</v>
      </c>
      <c r="C70" s="6" t="n">
        <f aca="false">SUM(D70:K70)</f>
        <v>11011.74</v>
      </c>
      <c r="D70" s="6"/>
      <c r="E70" s="6"/>
      <c r="F70" s="6"/>
      <c r="G70" s="6"/>
      <c r="H70" s="6"/>
      <c r="I70" s="6"/>
      <c r="J70" s="6"/>
      <c r="K70" s="6" t="n">
        <f aca="false">'Laundry 2'!$I$17</f>
        <v>11011.74</v>
      </c>
    </row>
    <row r="71" customFormat="false" ht="15" hidden="false" customHeight="false" outlineLevel="0" collapsed="false">
      <c r="B71" s="5" t="s">
        <v>49</v>
      </c>
      <c r="C71" s="6" t="n">
        <f aca="false">SUM(D71:K71)</f>
        <v>6045.53</v>
      </c>
      <c r="D71" s="6"/>
      <c r="E71" s="6"/>
      <c r="F71" s="6"/>
      <c r="G71" s="6"/>
      <c r="H71" s="6"/>
      <c r="I71" s="6"/>
      <c r="J71" s="6"/>
      <c r="K71" s="6" t="n">
        <f aca="false">'Laundry 2'!$I$18</f>
        <v>6045.53</v>
      </c>
    </row>
    <row r="72" customFormat="false" ht="15" hidden="false" customHeight="false" outlineLevel="0" collapsed="false">
      <c r="B72" s="5" t="s">
        <v>50</v>
      </c>
      <c r="C72" s="6" t="n">
        <f aca="false">SUM(D72:K72)</f>
        <v>1366.36</v>
      </c>
      <c r="D72" s="6"/>
      <c r="E72" s="6"/>
      <c r="F72" s="6"/>
      <c r="G72" s="6"/>
      <c r="H72" s="6"/>
      <c r="I72" s="6"/>
      <c r="J72" s="6"/>
      <c r="K72" s="6" t="n">
        <f aca="false">'Laundry 2'!$I$19</f>
        <v>1366.36</v>
      </c>
    </row>
    <row r="73" customFormat="false" ht="15" hidden="false" customHeight="false" outlineLevel="0" collapsed="false">
      <c r="B73" s="5" t="s">
        <v>51</v>
      </c>
      <c r="C73" s="6" t="n">
        <f aca="false">SUM(D73:K73)</f>
        <v>750.13</v>
      </c>
      <c r="D73" s="6"/>
      <c r="E73" s="6"/>
      <c r="F73" s="6"/>
      <c r="G73" s="6"/>
      <c r="H73" s="6"/>
      <c r="I73" s="6"/>
      <c r="J73" s="6"/>
      <c r="K73" s="6" t="n">
        <f aca="false">'Laundry 2'!$I$20</f>
        <v>750.13</v>
      </c>
    </row>
    <row r="74" customFormat="false" ht="15" hidden="false" customHeight="false" outlineLevel="0" collapsed="false">
      <c r="B74" s="5" t="s">
        <v>52</v>
      </c>
      <c r="C74" s="6" t="n">
        <f aca="false">SUM(D74:K74)</f>
        <v>1131.36</v>
      </c>
      <c r="D74" s="6"/>
      <c r="E74" s="6"/>
      <c r="F74" s="6"/>
      <c r="G74" s="6"/>
      <c r="H74" s="6"/>
      <c r="I74" s="6"/>
      <c r="J74" s="6"/>
      <c r="K74" s="6" t="n">
        <f aca="false">'Laundry 2'!$I$21</f>
        <v>1131.36</v>
      </c>
    </row>
    <row r="75" customFormat="false" ht="15" hidden="false" customHeight="false" outlineLevel="0" collapsed="false">
      <c r="B75" s="5" t="s">
        <v>53</v>
      </c>
      <c r="C75" s="6" t="n">
        <f aca="false">SUM(D75:K75)</f>
        <v>621.15</v>
      </c>
      <c r="D75" s="6"/>
      <c r="E75" s="6"/>
      <c r="F75" s="6"/>
      <c r="G75" s="6"/>
      <c r="H75" s="6"/>
      <c r="I75" s="6"/>
      <c r="J75" s="6"/>
      <c r="K75" s="6" t="n">
        <f aca="false">'Laundry 2'!$I$22</f>
        <v>621.15</v>
      </c>
    </row>
    <row r="76" customFormat="false" ht="15" hidden="false" customHeight="false" outlineLevel="0" collapsed="false">
      <c r="A76" s="7"/>
      <c r="B76" s="8" t="s">
        <v>58</v>
      </c>
      <c r="C76" s="9" t="n">
        <f aca="false">SUM(C52:C75)</f>
        <v>1483724.71</v>
      </c>
      <c r="D76" s="9" t="n">
        <f aca="false">SUM(D52:D75)</f>
        <v>165405.34</v>
      </c>
      <c r="E76" s="9" t="n">
        <f aca="false">SUM(E52:E75)</f>
        <v>260273.19</v>
      </c>
      <c r="F76" s="9" t="n">
        <f aca="false">SUM(F52:F75)</f>
        <v>260273.19</v>
      </c>
      <c r="G76" s="9" t="n">
        <f aca="false">SUM(G52:G75)</f>
        <v>240510.1</v>
      </c>
      <c r="H76" s="9" t="n">
        <f aca="false">SUM(H52:H75)</f>
        <v>260273.19</v>
      </c>
      <c r="I76" s="9" t="n">
        <f aca="false">SUM(I52:I75)</f>
        <v>260273.19</v>
      </c>
      <c r="J76" s="9" t="n">
        <f aca="false">SUM(J52:J75)</f>
        <v>15790.24</v>
      </c>
      <c r="K76" s="9" t="n">
        <f aca="false">SUM(K52:K75)</f>
        <v>20926.27</v>
      </c>
    </row>
    <row r="77" customFormat="false" ht="15" hidden="false" customHeight="false" outlineLevel="0" collapsed="false">
      <c r="A77" s="13"/>
      <c r="B77" s="14" t="s">
        <v>59</v>
      </c>
      <c r="C77" s="15" t="n">
        <f aca="false">C51-C76</f>
        <v>-368477.71</v>
      </c>
      <c r="D77" s="15" t="n">
        <f aca="false">D51-D76</f>
        <v>-41243.48</v>
      </c>
      <c r="E77" s="15" t="n">
        <f aca="false">E51-E76</f>
        <v>-68919.16</v>
      </c>
      <c r="F77" s="15" t="n">
        <f aca="false">F51-F76</f>
        <v>-68919.16</v>
      </c>
      <c r="G77" s="15" t="n">
        <f aca="false">G51-G76</f>
        <v>-42750.29</v>
      </c>
      <c r="H77" s="15" t="n">
        <f aca="false">H51-H76</f>
        <v>-68919.16</v>
      </c>
      <c r="I77" s="15" t="n">
        <f aca="false">I51-I76</f>
        <v>-68919.16</v>
      </c>
      <c r="J77" s="15" t="n">
        <f aca="false">J51-J76</f>
        <v>-2864.81</v>
      </c>
      <c r="K77" s="15" t="n">
        <f aca="false">K51-K76</f>
        <v>-5942.49</v>
      </c>
    </row>
    <row r="78" customFormat="false" ht="15" hidden="false" customHeight="false" outlineLevel="0" collapsed="false">
      <c r="B78" s="16" t="s">
        <v>60</v>
      </c>
      <c r="C78" s="17" t="n">
        <f aca="false">C77-(-368477.71)</f>
        <v>0</v>
      </c>
      <c r="D78" s="17" t="n">
        <f aca="false">D77-Site!$D$28</f>
        <v>0</v>
      </c>
      <c r="E78" s="17" t="n">
        <f aca="false">E77-'Apartments 1-16'!$D$28</f>
        <v>0</v>
      </c>
      <c r="F78" s="17" t="n">
        <f aca="false">F77-'Apartments 17-32'!$D$28</f>
        <v>0</v>
      </c>
      <c r="G78" s="17" t="n">
        <f aca="false">G77-'Apartments 33-48'!$D$28</f>
        <v>0</v>
      </c>
      <c r="H78" s="17" t="n">
        <f aca="false">H77-'Apartments 49-64'!$D$28</f>
        <v>0</v>
      </c>
      <c r="I78" s="17" t="n">
        <f aca="false">I77-'Apartments 64-80'!$D$28</f>
        <v>0</v>
      </c>
      <c r="J78" s="17" t="n">
        <f aca="false">J77-'Laundry 1'!$D$28</f>
        <v>0</v>
      </c>
      <c r="K78" s="17" t="n">
        <f aca="false">K77-'Laundry 2'!$D$28</f>
        <v>0</v>
      </c>
    </row>
    <row r="80" customFormat="false" ht="15" hidden="false" customHeight="false" outlineLevel="0" collapsed="false">
      <c r="B80" s="18" t="s">
        <v>61</v>
      </c>
    </row>
    <row r="81" customFormat="false" ht="15" hidden="false" customHeight="false" outlineLevel="0" collapsed="false">
      <c r="B81" s="19" t="s">
        <v>62</v>
      </c>
    </row>
    <row r="82" customFormat="false" ht="15" hidden="false" customHeight="false" outlineLevel="0" collapsed="false">
      <c r="B82" s="19" t="s">
        <v>63</v>
      </c>
    </row>
    <row r="83" customFormat="false" ht="15" hidden="false" customHeight="false" outlineLevel="0" collapsed="false">
      <c r="B83" s="19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65</v>
      </c>
    </row>
    <row r="5" customFormat="false" ht="15" hidden="false" customHeight="false" outlineLevel="0" collapsed="false">
      <c r="A5" s="16" t="s">
        <v>66</v>
      </c>
    </row>
    <row r="7" customFormat="false" ht="15" hidden="false" customHeight="false" outlineLevel="0" collapsed="false">
      <c r="A7" s="10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79</v>
      </c>
      <c r="L9" s="4" t="s">
        <v>80</v>
      </c>
    </row>
    <row r="10" customFormat="false" ht="15" hidden="false" customHeight="false" outlineLevel="0" collapsed="false">
      <c r="A10" s="23" t="n">
        <v>1</v>
      </c>
      <c r="B10" s="23" t="s">
        <v>16</v>
      </c>
      <c r="C10" s="23" t="s">
        <v>15</v>
      </c>
      <c r="D10" s="24" t="n">
        <v>254562.48</v>
      </c>
      <c r="E10" s="24" t="n">
        <v>0</v>
      </c>
      <c r="F10" s="24" t="n">
        <v>0</v>
      </c>
      <c r="G10" s="24" t="n">
        <v>69811.64</v>
      </c>
      <c r="H10" s="24" t="n">
        <v>8256.76</v>
      </c>
      <c r="I10" s="24" t="n">
        <f aca="false">G10+H10</f>
        <v>78068.4</v>
      </c>
      <c r="J10" s="24" t="n">
        <f aca="false">D10-I10</f>
        <v>176494.08</v>
      </c>
      <c r="K10" s="25" t="s">
        <v>81</v>
      </c>
      <c r="L10" s="25" t="s">
        <v>82</v>
      </c>
    </row>
    <row r="11" customFormat="false" ht="15" hidden="false" customHeight="false" outlineLevel="0" collapsed="false">
      <c r="A11" s="23" t="n">
        <v>2</v>
      </c>
      <c r="B11" s="23" t="s">
        <v>17</v>
      </c>
      <c r="C11" s="23" t="s">
        <v>15</v>
      </c>
      <c r="D11" s="24" t="n">
        <v>31586.5</v>
      </c>
      <c r="E11" s="24" t="n">
        <v>0</v>
      </c>
      <c r="F11" s="24" t="n">
        <v>0</v>
      </c>
      <c r="G11" s="24" t="n">
        <v>31586.5</v>
      </c>
      <c r="H11" s="24" t="n">
        <v>0</v>
      </c>
      <c r="I11" s="24" t="n">
        <f aca="false">G11+H11</f>
        <v>31586.5</v>
      </c>
      <c r="J11" s="24" t="n">
        <f aca="false">D11-I11</f>
        <v>0</v>
      </c>
      <c r="K11" s="25" t="s">
        <v>83</v>
      </c>
      <c r="L11" s="25" t="s">
        <v>84</v>
      </c>
    </row>
    <row r="12" customFormat="false" ht="15" hidden="false" customHeight="false" outlineLevel="0" collapsed="false">
      <c r="A12" s="23" t="n">
        <v>3</v>
      </c>
      <c r="B12" s="23" t="s">
        <v>18</v>
      </c>
      <c r="C12" s="23" t="s">
        <v>15</v>
      </c>
      <c r="D12" s="24" t="n">
        <v>26154.15</v>
      </c>
      <c r="E12" s="24" t="n">
        <v>0</v>
      </c>
      <c r="F12" s="24" t="n">
        <v>0</v>
      </c>
      <c r="G12" s="24" t="n">
        <v>12962.61</v>
      </c>
      <c r="H12" s="24" t="n">
        <v>1544.35</v>
      </c>
      <c r="I12" s="24" t="n">
        <f aca="false">G12+H12</f>
        <v>14506.96</v>
      </c>
      <c r="J12" s="24" t="n">
        <f aca="false">D12-I12</f>
        <v>11647.19</v>
      </c>
      <c r="K12" s="25" t="s">
        <v>85</v>
      </c>
      <c r="L12" s="25" t="s">
        <v>86</v>
      </c>
    </row>
    <row r="13" customFormat="false" ht="15" hidden="false" customHeight="false" outlineLevel="0" collapsed="false">
      <c r="A13" s="26"/>
      <c r="B13" s="27" t="s">
        <v>28</v>
      </c>
      <c r="C13" s="26"/>
      <c r="D13" s="28" t="n">
        <f aca="false">SUM(D10:D12)</f>
        <v>312303.13</v>
      </c>
      <c r="E13" s="28" t="n">
        <f aca="false">SUM(E10:E12)</f>
        <v>0</v>
      </c>
      <c r="F13" s="28" t="n">
        <f aca="false">SUM(F10:F12)</f>
        <v>0</v>
      </c>
      <c r="G13" s="28" t="n">
        <f aca="false">SUM(G10:G12)</f>
        <v>114360.75</v>
      </c>
      <c r="H13" s="28" t="n">
        <f aca="false">SUM(H10:H12)</f>
        <v>9801.11</v>
      </c>
      <c r="I13" s="28" t="n">
        <f aca="false">SUM(I10:I12)</f>
        <v>124161.86</v>
      </c>
      <c r="J13" s="28" t="n">
        <f aca="false">SUM(J10:J12)</f>
        <v>188141.27</v>
      </c>
      <c r="K13" s="26"/>
      <c r="L13" s="26"/>
    </row>
    <row r="15" customFormat="false" ht="15" hidden="false" customHeight="false" outlineLevel="0" collapsed="false">
      <c r="A15" s="21" t="s">
        <v>87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4" t="s">
        <v>75</v>
      </c>
      <c r="H16" s="4" t="s">
        <v>76</v>
      </c>
      <c r="I16" s="4" t="s">
        <v>77</v>
      </c>
      <c r="J16" s="4" t="s">
        <v>78</v>
      </c>
      <c r="K16" s="4" t="s">
        <v>79</v>
      </c>
      <c r="L16" s="4" t="s">
        <v>80</v>
      </c>
    </row>
    <row r="17" customFormat="false" ht="15" hidden="false" customHeight="false" outlineLevel="0" collapsed="false">
      <c r="A17" s="23" t="n">
        <v>1</v>
      </c>
      <c r="B17" s="23" t="s">
        <v>30</v>
      </c>
      <c r="C17" s="23" t="s">
        <v>15</v>
      </c>
      <c r="D17" s="24" t="n">
        <v>182460.43</v>
      </c>
      <c r="E17" s="24" t="n">
        <v>0</v>
      </c>
      <c r="F17" s="24" t="n">
        <v>0</v>
      </c>
      <c r="G17" s="24" t="n">
        <v>101654.64</v>
      </c>
      <c r="H17" s="24" t="n">
        <v>10774.11</v>
      </c>
      <c r="I17" s="24" t="n">
        <f aca="false">G17+H17</f>
        <v>112428.75</v>
      </c>
      <c r="J17" s="24" t="n">
        <f aca="false">D17-I17</f>
        <v>70031.68</v>
      </c>
      <c r="K17" s="25" t="s">
        <v>85</v>
      </c>
      <c r="L17" s="25" t="s">
        <v>86</v>
      </c>
    </row>
    <row r="18" customFormat="false" ht="15" hidden="false" customHeight="false" outlineLevel="0" collapsed="false">
      <c r="A18" s="23" t="n">
        <v>2</v>
      </c>
      <c r="B18" s="23" t="s">
        <v>31</v>
      </c>
      <c r="C18" s="23" t="s">
        <v>15</v>
      </c>
      <c r="D18" s="24" t="n">
        <v>72102.05</v>
      </c>
      <c r="E18" s="24" t="n">
        <v>0</v>
      </c>
      <c r="F18" s="24" t="n">
        <v>0</v>
      </c>
      <c r="G18" s="24" t="n">
        <v>19773.42</v>
      </c>
      <c r="H18" s="24" t="n">
        <v>2621.89</v>
      </c>
      <c r="I18" s="24" t="n">
        <f aca="false">G18+H18</f>
        <v>22395.31</v>
      </c>
      <c r="J18" s="24" t="n">
        <f aca="false">D18-I18</f>
        <v>49706.74</v>
      </c>
      <c r="K18" s="25" t="s">
        <v>81</v>
      </c>
      <c r="L18" s="25" t="s">
        <v>82</v>
      </c>
    </row>
    <row r="19" customFormat="false" ht="15" hidden="false" customHeight="false" outlineLevel="0" collapsed="false">
      <c r="A19" s="23" t="n">
        <v>3</v>
      </c>
      <c r="B19" s="23" t="s">
        <v>32</v>
      </c>
      <c r="C19" s="23" t="s">
        <v>15</v>
      </c>
      <c r="D19" s="24" t="n">
        <v>22639.97</v>
      </c>
      <c r="E19" s="24" t="n">
        <v>0</v>
      </c>
      <c r="F19" s="24" t="n">
        <v>0</v>
      </c>
      <c r="G19" s="24" t="n">
        <v>12613.48</v>
      </c>
      <c r="H19" s="24" t="n">
        <v>1336.87</v>
      </c>
      <c r="I19" s="24" t="n">
        <f aca="false">G19+H19</f>
        <v>13950.35</v>
      </c>
      <c r="J19" s="24" t="n">
        <f aca="false">D19-I19</f>
        <v>8689.62</v>
      </c>
      <c r="K19" s="25" t="s">
        <v>85</v>
      </c>
      <c r="L19" s="25" t="s">
        <v>86</v>
      </c>
    </row>
    <row r="20" customFormat="false" ht="15" hidden="false" customHeight="false" outlineLevel="0" collapsed="false">
      <c r="A20" s="23" t="n">
        <v>4</v>
      </c>
      <c r="B20" s="23" t="s">
        <v>33</v>
      </c>
      <c r="C20" s="23" t="s">
        <v>15</v>
      </c>
      <c r="D20" s="24" t="n">
        <v>8946.53</v>
      </c>
      <c r="E20" s="24" t="n">
        <v>0</v>
      </c>
      <c r="F20" s="24" t="n">
        <v>0</v>
      </c>
      <c r="G20" s="24" t="n">
        <v>2453.53</v>
      </c>
      <c r="H20" s="24" t="n">
        <v>325.33</v>
      </c>
      <c r="I20" s="24" t="n">
        <f aca="false">G20+H20</f>
        <v>2778.86</v>
      </c>
      <c r="J20" s="24" t="n">
        <f aca="false">D20-I20</f>
        <v>6167.67</v>
      </c>
      <c r="K20" s="25" t="s">
        <v>81</v>
      </c>
      <c r="L20" s="25" t="s">
        <v>82</v>
      </c>
    </row>
    <row r="21" customFormat="false" ht="15" hidden="false" customHeight="false" outlineLevel="0" collapsed="false">
      <c r="A21" s="23" t="n">
        <v>5</v>
      </c>
      <c r="B21" s="23" t="s">
        <v>34</v>
      </c>
      <c r="C21" s="23" t="s">
        <v>15</v>
      </c>
      <c r="D21" s="24" t="n">
        <v>18746.27</v>
      </c>
      <c r="E21" s="24" t="n">
        <v>0</v>
      </c>
      <c r="F21" s="24" t="n">
        <v>0</v>
      </c>
      <c r="G21" s="24" t="n">
        <v>10444.17</v>
      </c>
      <c r="H21" s="24" t="n">
        <v>1106.95</v>
      </c>
      <c r="I21" s="24" t="n">
        <f aca="false">G21+H21</f>
        <v>11551.12</v>
      </c>
      <c r="J21" s="24" t="n">
        <f aca="false">D21-I21</f>
        <v>7195.15</v>
      </c>
      <c r="K21" s="25" t="s">
        <v>85</v>
      </c>
      <c r="L21" s="25" t="s">
        <v>86</v>
      </c>
    </row>
    <row r="22" customFormat="false" ht="15" hidden="false" customHeight="false" outlineLevel="0" collapsed="false">
      <c r="A22" s="23" t="n">
        <v>6</v>
      </c>
      <c r="B22" s="23" t="s">
        <v>35</v>
      </c>
      <c r="C22" s="23" t="s">
        <v>15</v>
      </c>
      <c r="D22" s="24" t="n">
        <v>7407.88</v>
      </c>
      <c r="E22" s="24" t="n">
        <v>0</v>
      </c>
      <c r="F22" s="24" t="n">
        <v>0</v>
      </c>
      <c r="G22" s="24" t="n">
        <v>2031.57</v>
      </c>
      <c r="H22" s="24" t="n">
        <v>269.38</v>
      </c>
      <c r="I22" s="24" t="n">
        <f aca="false">G22+H22</f>
        <v>2300.95</v>
      </c>
      <c r="J22" s="24" t="n">
        <f aca="false">D22-I22</f>
        <v>5106.93</v>
      </c>
      <c r="K22" s="25" t="s">
        <v>81</v>
      </c>
      <c r="L22" s="25" t="s">
        <v>82</v>
      </c>
    </row>
    <row r="23" customFormat="false" ht="15" hidden="false" customHeight="false" outlineLevel="0" collapsed="false">
      <c r="A23" s="26"/>
      <c r="B23" s="27" t="s">
        <v>28</v>
      </c>
      <c r="C23" s="26"/>
      <c r="D23" s="28" t="n">
        <f aca="false">SUM(D17:D22)</f>
        <v>312303.13</v>
      </c>
      <c r="E23" s="28" t="n">
        <f aca="false">SUM(E17:E22)</f>
        <v>0</v>
      </c>
      <c r="F23" s="28" t="n">
        <f aca="false">SUM(F17:F22)</f>
        <v>0</v>
      </c>
      <c r="G23" s="28" t="n">
        <f aca="false">SUM(G17:G22)</f>
        <v>148970.81</v>
      </c>
      <c r="H23" s="28" t="n">
        <f aca="false">SUM(H17:H22)</f>
        <v>16434.53</v>
      </c>
      <c r="I23" s="28" t="n">
        <f aca="false">SUM(I17:I22)</f>
        <v>165405.34</v>
      </c>
      <c r="J23" s="28" t="n">
        <f aca="false">SUM(J17:J22)</f>
        <v>146897.79</v>
      </c>
      <c r="K23" s="26"/>
      <c r="L23" s="26"/>
    </row>
    <row r="25" customFormat="false" ht="15" hidden="false" customHeight="false" outlineLevel="0" collapsed="false">
      <c r="B25" s="18" t="s">
        <v>88</v>
      </c>
    </row>
    <row r="26" customFormat="false" ht="15" hidden="false" customHeight="false" outlineLevel="0" collapsed="false">
      <c r="B26" s="5" t="s">
        <v>89</v>
      </c>
      <c r="D26" s="6" t="n">
        <f aca="false">I13</f>
        <v>124161.86</v>
      </c>
    </row>
    <row r="27" customFormat="false" ht="15" hidden="false" customHeight="false" outlineLevel="0" collapsed="false">
      <c r="B27" s="5" t="s">
        <v>90</v>
      </c>
      <c r="D27" s="6" t="n">
        <f aca="false">I23</f>
        <v>165405.34</v>
      </c>
    </row>
    <row r="28" customFormat="false" ht="15" hidden="false" customHeight="false" outlineLevel="0" collapsed="false">
      <c r="B28" s="11" t="s">
        <v>88</v>
      </c>
      <c r="D28" s="29" t="n">
        <f aca="false">D26-D27</f>
        <v>-41243.48</v>
      </c>
    </row>
    <row r="30" customFormat="false" ht="15" hidden="false" customHeight="false" outlineLevel="0" collapsed="false">
      <c r="A30" s="10" t="s">
        <v>91</v>
      </c>
    </row>
    <row r="31" customFormat="false" ht="15" hidden="false" customHeight="false" outlineLevel="0" collapsed="false">
      <c r="A31" s="21" t="s">
        <v>92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69</v>
      </c>
      <c r="B32" s="4" t="s">
        <v>70</v>
      </c>
      <c r="C32" s="4" t="s">
        <v>71</v>
      </c>
      <c r="D32" s="4" t="s">
        <v>72</v>
      </c>
      <c r="E32" s="4" t="s">
        <v>73</v>
      </c>
      <c r="F32" s="4" t="s">
        <v>74</v>
      </c>
      <c r="G32" s="4" t="s">
        <v>93</v>
      </c>
      <c r="H32" s="4" t="s">
        <v>94</v>
      </c>
      <c r="I32" s="4" t="s">
        <v>77</v>
      </c>
      <c r="J32" s="4" t="s">
        <v>78</v>
      </c>
      <c r="K32" s="4" t="s">
        <v>79</v>
      </c>
      <c r="L32" s="4" t="s">
        <v>80</v>
      </c>
    </row>
    <row r="33" customFormat="false" ht="15" hidden="false" customHeight="false" outlineLevel="0" collapsed="false">
      <c r="A33" s="23" t="n">
        <v>1</v>
      </c>
      <c r="B33" s="23" t="s">
        <v>16</v>
      </c>
      <c r="C33" s="23" t="s">
        <v>15</v>
      </c>
      <c r="D33" s="24" t="n">
        <v>254562.48</v>
      </c>
      <c r="E33" s="24" t="n">
        <v>0</v>
      </c>
      <c r="F33" s="24" t="n">
        <v>0</v>
      </c>
      <c r="G33" s="24" t="n">
        <v>69811.64</v>
      </c>
      <c r="H33" s="24" t="n">
        <v>8256.76</v>
      </c>
      <c r="I33" s="24" t="n">
        <f aca="false">G33+H33</f>
        <v>78068.4</v>
      </c>
      <c r="J33" s="24" t="n">
        <f aca="false">D33-I33</f>
        <v>176494.08</v>
      </c>
      <c r="K33" s="25" t="s">
        <v>81</v>
      </c>
      <c r="L33" s="25" t="s">
        <v>82</v>
      </c>
    </row>
    <row r="34" customFormat="false" ht="15" hidden="false" customHeight="false" outlineLevel="0" collapsed="false">
      <c r="A34" s="23" t="n">
        <v>2</v>
      </c>
      <c r="B34" s="23" t="s">
        <v>17</v>
      </c>
      <c r="C34" s="23" t="s">
        <v>15</v>
      </c>
      <c r="D34" s="24" t="n">
        <v>31586.5</v>
      </c>
      <c r="E34" s="24" t="n">
        <v>0</v>
      </c>
      <c r="F34" s="24" t="n">
        <v>0</v>
      </c>
      <c r="G34" s="24" t="n">
        <v>31586.5</v>
      </c>
      <c r="H34" s="24" t="n">
        <v>0</v>
      </c>
      <c r="I34" s="24" t="n">
        <f aca="false">G34+H34</f>
        <v>31586.5</v>
      </c>
      <c r="J34" s="24" t="n">
        <f aca="false">D34-I34</f>
        <v>0</v>
      </c>
      <c r="K34" s="25" t="s">
        <v>83</v>
      </c>
      <c r="L34" s="25" t="s">
        <v>84</v>
      </c>
    </row>
    <row r="35" customFormat="false" ht="15" hidden="false" customHeight="false" outlineLevel="0" collapsed="false">
      <c r="A35" s="23" t="n">
        <v>3</v>
      </c>
      <c r="B35" s="23" t="s">
        <v>18</v>
      </c>
      <c r="C35" s="23" t="s">
        <v>15</v>
      </c>
      <c r="D35" s="24" t="n">
        <v>26154.15</v>
      </c>
      <c r="E35" s="24" t="n">
        <v>0</v>
      </c>
      <c r="F35" s="24" t="n">
        <v>0</v>
      </c>
      <c r="G35" s="24" t="n">
        <v>12962.61</v>
      </c>
      <c r="H35" s="24" t="n">
        <v>1544.35</v>
      </c>
      <c r="I35" s="24" t="n">
        <f aca="false">G35+H35</f>
        <v>14506.96</v>
      </c>
      <c r="J35" s="24" t="n">
        <f aca="false">D35-I35</f>
        <v>11647.19</v>
      </c>
      <c r="K35" s="25" t="s">
        <v>85</v>
      </c>
      <c r="L35" s="25" t="s">
        <v>86</v>
      </c>
    </row>
    <row r="36" customFormat="false" ht="15" hidden="false" customHeight="false" outlineLevel="0" collapsed="false">
      <c r="A36" s="26"/>
      <c r="B36" s="27" t="s">
        <v>28</v>
      </c>
      <c r="C36" s="26"/>
      <c r="D36" s="28" t="n">
        <f aca="false">SUM(D33:D35)</f>
        <v>312303.13</v>
      </c>
      <c r="E36" s="28" t="n">
        <f aca="false">SUM(E33:E35)</f>
        <v>0</v>
      </c>
      <c r="F36" s="28" t="n">
        <f aca="false">SUM(F33:F35)</f>
        <v>0</v>
      </c>
      <c r="G36" s="28" t="n">
        <f aca="false">SUM(G33:G35)</f>
        <v>114360.75</v>
      </c>
      <c r="H36" s="28" t="n">
        <f aca="false">SUM(H33:H35)</f>
        <v>9801.11</v>
      </c>
      <c r="I36" s="28" t="n">
        <f aca="false">SUM(I33:I35)</f>
        <v>124161.86</v>
      </c>
      <c r="J36" s="28" t="n">
        <f aca="false">SUM(J33:J35)</f>
        <v>188141.27</v>
      </c>
      <c r="K36" s="26"/>
      <c r="L36" s="26"/>
    </row>
    <row r="38" customFormat="false" ht="15" hidden="false" customHeight="false" outlineLevel="0" collapsed="false">
      <c r="A38" s="21" t="s">
        <v>95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69</v>
      </c>
      <c r="B39" s="4" t="s">
        <v>70</v>
      </c>
      <c r="C39" s="4" t="s">
        <v>71</v>
      </c>
      <c r="D39" s="4" t="s">
        <v>72</v>
      </c>
      <c r="E39" s="4" t="s">
        <v>73</v>
      </c>
      <c r="F39" s="4" t="s">
        <v>74</v>
      </c>
      <c r="G39" s="4" t="s">
        <v>93</v>
      </c>
      <c r="H39" s="4" t="s">
        <v>94</v>
      </c>
      <c r="I39" s="4" t="s">
        <v>77</v>
      </c>
      <c r="J39" s="4" t="s">
        <v>78</v>
      </c>
      <c r="K39" s="4" t="s">
        <v>79</v>
      </c>
      <c r="L39" s="4" t="s">
        <v>80</v>
      </c>
    </row>
    <row r="40" customFormat="false" ht="15" hidden="false" customHeight="false" outlineLevel="0" collapsed="false">
      <c r="A40" s="23" t="n">
        <v>1</v>
      </c>
      <c r="B40" s="23" t="s">
        <v>30</v>
      </c>
      <c r="C40" s="23" t="s">
        <v>15</v>
      </c>
      <c r="D40" s="24" t="n">
        <v>182460.43</v>
      </c>
      <c r="E40" s="24" t="n">
        <v>0</v>
      </c>
      <c r="F40" s="24" t="n">
        <v>0</v>
      </c>
      <c r="G40" s="24" t="n">
        <v>101654.64</v>
      </c>
      <c r="H40" s="24" t="n">
        <v>10774.11</v>
      </c>
      <c r="I40" s="24" t="n">
        <f aca="false">G40+H40</f>
        <v>112428.75</v>
      </c>
      <c r="J40" s="24" t="n">
        <f aca="false">D40-I40</f>
        <v>70031.68</v>
      </c>
      <c r="K40" s="25" t="s">
        <v>85</v>
      </c>
      <c r="L40" s="25" t="s">
        <v>86</v>
      </c>
    </row>
    <row r="41" customFormat="false" ht="15" hidden="false" customHeight="false" outlineLevel="0" collapsed="false">
      <c r="A41" s="23" t="n">
        <v>2</v>
      </c>
      <c r="B41" s="23" t="s">
        <v>31</v>
      </c>
      <c r="C41" s="23" t="s">
        <v>15</v>
      </c>
      <c r="D41" s="24" t="n">
        <v>72102.05</v>
      </c>
      <c r="E41" s="24" t="n">
        <v>0</v>
      </c>
      <c r="F41" s="24" t="n">
        <v>0</v>
      </c>
      <c r="G41" s="24" t="n">
        <v>19773.42</v>
      </c>
      <c r="H41" s="24" t="n">
        <v>2621.89</v>
      </c>
      <c r="I41" s="24" t="n">
        <f aca="false">G41+H41</f>
        <v>22395.31</v>
      </c>
      <c r="J41" s="24" t="n">
        <f aca="false">D41-I41</f>
        <v>49706.74</v>
      </c>
      <c r="K41" s="25" t="s">
        <v>81</v>
      </c>
      <c r="L41" s="25" t="s">
        <v>82</v>
      </c>
    </row>
    <row r="42" customFormat="false" ht="15" hidden="false" customHeight="false" outlineLevel="0" collapsed="false">
      <c r="A42" s="23" t="n">
        <v>3</v>
      </c>
      <c r="B42" s="23" t="s">
        <v>32</v>
      </c>
      <c r="C42" s="23" t="s">
        <v>15</v>
      </c>
      <c r="D42" s="24" t="n">
        <v>22639.97</v>
      </c>
      <c r="E42" s="24" t="n">
        <v>0</v>
      </c>
      <c r="F42" s="24" t="n">
        <v>0</v>
      </c>
      <c r="G42" s="24" t="n">
        <v>12613.48</v>
      </c>
      <c r="H42" s="24" t="n">
        <v>1336.87</v>
      </c>
      <c r="I42" s="24" t="n">
        <f aca="false">G42+H42</f>
        <v>13950.35</v>
      </c>
      <c r="J42" s="24" t="n">
        <f aca="false">D42-I42</f>
        <v>8689.62</v>
      </c>
      <c r="K42" s="25" t="s">
        <v>85</v>
      </c>
      <c r="L42" s="25" t="s">
        <v>86</v>
      </c>
    </row>
    <row r="43" customFormat="false" ht="15" hidden="false" customHeight="false" outlineLevel="0" collapsed="false">
      <c r="A43" s="23" t="n">
        <v>4</v>
      </c>
      <c r="B43" s="23" t="s">
        <v>33</v>
      </c>
      <c r="C43" s="23" t="s">
        <v>15</v>
      </c>
      <c r="D43" s="24" t="n">
        <v>8946.53</v>
      </c>
      <c r="E43" s="24" t="n">
        <v>0</v>
      </c>
      <c r="F43" s="24" t="n">
        <v>0</v>
      </c>
      <c r="G43" s="24" t="n">
        <v>2453.53</v>
      </c>
      <c r="H43" s="24" t="n">
        <v>325.33</v>
      </c>
      <c r="I43" s="24" t="n">
        <f aca="false">G43+H43</f>
        <v>2778.86</v>
      </c>
      <c r="J43" s="24" t="n">
        <f aca="false">D43-I43</f>
        <v>6167.67</v>
      </c>
      <c r="K43" s="25" t="s">
        <v>81</v>
      </c>
      <c r="L43" s="25" t="s">
        <v>82</v>
      </c>
    </row>
    <row r="44" customFormat="false" ht="15" hidden="false" customHeight="false" outlineLevel="0" collapsed="false">
      <c r="A44" s="23" t="n">
        <v>5</v>
      </c>
      <c r="B44" s="23" t="s">
        <v>34</v>
      </c>
      <c r="C44" s="23" t="s">
        <v>15</v>
      </c>
      <c r="D44" s="24" t="n">
        <v>18746.27</v>
      </c>
      <c r="E44" s="24" t="n">
        <v>0</v>
      </c>
      <c r="F44" s="24" t="n">
        <v>0</v>
      </c>
      <c r="G44" s="24" t="n">
        <v>10444.17</v>
      </c>
      <c r="H44" s="24" t="n">
        <v>1106.95</v>
      </c>
      <c r="I44" s="24" t="n">
        <f aca="false">G44+H44</f>
        <v>11551.12</v>
      </c>
      <c r="J44" s="24" t="n">
        <f aca="false">D44-I44</f>
        <v>7195.15</v>
      </c>
      <c r="K44" s="25" t="s">
        <v>85</v>
      </c>
      <c r="L44" s="25" t="s">
        <v>86</v>
      </c>
    </row>
    <row r="45" customFormat="false" ht="15" hidden="false" customHeight="false" outlineLevel="0" collapsed="false">
      <c r="A45" s="23" t="n">
        <v>6</v>
      </c>
      <c r="B45" s="23" t="s">
        <v>35</v>
      </c>
      <c r="C45" s="23" t="s">
        <v>15</v>
      </c>
      <c r="D45" s="24" t="n">
        <v>7407.88</v>
      </c>
      <c r="E45" s="24" t="n">
        <v>0</v>
      </c>
      <c r="F45" s="24" t="n">
        <v>0</v>
      </c>
      <c r="G45" s="24" t="n">
        <v>2031.57</v>
      </c>
      <c r="H45" s="24" t="n">
        <v>269.38</v>
      </c>
      <c r="I45" s="24" t="n">
        <f aca="false">G45+H45</f>
        <v>2300.95</v>
      </c>
      <c r="J45" s="24" t="n">
        <f aca="false">D45-I45</f>
        <v>5106.93</v>
      </c>
      <c r="K45" s="25" t="s">
        <v>81</v>
      </c>
      <c r="L45" s="25" t="s">
        <v>82</v>
      </c>
    </row>
    <row r="46" customFormat="false" ht="15" hidden="false" customHeight="false" outlineLevel="0" collapsed="false">
      <c r="A46" s="26"/>
      <c r="B46" s="27" t="s">
        <v>28</v>
      </c>
      <c r="C46" s="26"/>
      <c r="D46" s="28" t="n">
        <f aca="false">SUM(D40:D45)</f>
        <v>312303.13</v>
      </c>
      <c r="E46" s="28" t="n">
        <f aca="false">SUM(E40:E45)</f>
        <v>0</v>
      </c>
      <c r="F46" s="28" t="n">
        <f aca="false">SUM(F40:F45)</f>
        <v>0</v>
      </c>
      <c r="G46" s="28" t="n">
        <f aca="false">SUM(G40:G45)</f>
        <v>148970.81</v>
      </c>
      <c r="H46" s="28" t="n">
        <f aca="false">SUM(H40:H45)</f>
        <v>16434.53</v>
      </c>
      <c r="I46" s="28" t="n">
        <f aca="false">SUM(I40:I45)</f>
        <v>165405.34</v>
      </c>
      <c r="J46" s="28" t="n">
        <f aca="false">SUM(J40:J45)</f>
        <v>146897.79</v>
      </c>
      <c r="K46" s="26"/>
      <c r="L46" s="26"/>
    </row>
    <row r="48" customFormat="false" ht="15" hidden="false" customHeight="false" outlineLevel="0" collapsed="false">
      <c r="B48" s="18" t="s">
        <v>96</v>
      </c>
    </row>
    <row r="49" customFormat="false" ht="15" hidden="false" customHeight="false" outlineLevel="0" collapsed="false">
      <c r="B49" s="5" t="s">
        <v>89</v>
      </c>
      <c r="D49" s="6" t="n">
        <f aca="false">I36</f>
        <v>124161.86</v>
      </c>
    </row>
    <row r="50" customFormat="false" ht="15" hidden="false" customHeight="false" outlineLevel="0" collapsed="false">
      <c r="B50" s="5" t="s">
        <v>90</v>
      </c>
      <c r="D50" s="6" t="n">
        <f aca="false">I46</f>
        <v>165405.34</v>
      </c>
    </row>
    <row r="51" customFormat="false" ht="15" hidden="false" customHeight="false" outlineLevel="0" collapsed="false">
      <c r="B51" s="11" t="s">
        <v>96</v>
      </c>
      <c r="D51" s="29" t="n">
        <f aca="false">D49-D50</f>
        <v>-41243.48</v>
      </c>
    </row>
    <row r="53" customFormat="false" ht="15" hidden="false" customHeight="false" outlineLevel="0" collapsed="false">
      <c r="A53" s="10" t="s">
        <v>97</v>
      </c>
    </row>
    <row r="54" customFormat="false" ht="15" hidden="false" customHeight="false" outlineLevel="0" collapsed="false">
      <c r="B54" s="11" t="s">
        <v>98</v>
      </c>
      <c r="D54" s="12" t="n">
        <f aca="false">D75</f>
        <v>312303.13</v>
      </c>
    </row>
    <row r="55" customFormat="false" ht="15" hidden="false" customHeight="false" outlineLevel="0" collapsed="false">
      <c r="B55" s="5" t="s">
        <v>99</v>
      </c>
      <c r="D55" s="6" t="n">
        <f aca="false">F75</f>
        <v>223846.67</v>
      </c>
    </row>
    <row r="56" customFormat="false" ht="15" hidden="false" customHeight="false" outlineLevel="0" collapsed="false">
      <c r="B56" s="30" t="s">
        <v>100</v>
      </c>
      <c r="D56" s="31" t="n">
        <f aca="false">F76</f>
        <v>0.716760891893719</v>
      </c>
    </row>
    <row r="57" customFormat="false" ht="15" hidden="false" customHeight="false" outlineLevel="0" collapsed="false">
      <c r="B57" s="5" t="s">
        <v>101</v>
      </c>
      <c r="D57" s="6" t="n">
        <f aca="false">H75</f>
        <v>88456.46</v>
      </c>
    </row>
    <row r="58" customFormat="false" ht="15" hidden="false" customHeight="false" outlineLevel="0" collapsed="false">
      <c r="B58" s="30" t="s">
        <v>100</v>
      </c>
      <c r="D58" s="31" t="n">
        <f aca="false">H76</f>
        <v>0.283239108106281</v>
      </c>
    </row>
    <row r="60" customFormat="false" ht="15" hidden="false" customHeight="false" outlineLevel="0" collapsed="false">
      <c r="A60" s="10" t="s">
        <v>102</v>
      </c>
    </row>
    <row r="61" customFormat="false" ht="15" hidden="false" customHeight="false" outlineLevel="0" collapsed="false">
      <c r="B61" s="4" t="s">
        <v>103</v>
      </c>
      <c r="D61" s="4" t="s">
        <v>72</v>
      </c>
      <c r="F61" s="4" t="s">
        <v>104</v>
      </c>
      <c r="H61" s="4" t="s">
        <v>105</v>
      </c>
    </row>
    <row r="62" customFormat="false" ht="15" hidden="false" customHeight="false" outlineLevel="0" collapsed="false">
      <c r="B62" s="32" t="s">
        <v>106</v>
      </c>
    </row>
    <row r="63" customFormat="false" ht="15" hidden="false" customHeight="false" outlineLevel="0" collapsed="false">
      <c r="B63" s="5" t="s">
        <v>107</v>
      </c>
      <c r="D63" s="33" t="n">
        <f aca="false">SUM(F63:H63)</f>
        <v>5624.03</v>
      </c>
      <c r="F63" s="33" t="n">
        <v>5624.03</v>
      </c>
    </row>
    <row r="64" customFormat="false" ht="15" hidden="false" customHeight="false" outlineLevel="0" collapsed="false">
      <c r="B64" s="5" t="s">
        <v>108</v>
      </c>
      <c r="D64" s="33" t="n">
        <f aca="false">SUM(F64:H64)</f>
        <v>95314.96</v>
      </c>
      <c r="F64" s="33" t="n">
        <v>95314.96</v>
      </c>
    </row>
    <row r="65" customFormat="false" ht="15" hidden="false" customHeight="false" outlineLevel="0" collapsed="false">
      <c r="B65" s="5" t="s">
        <v>109</v>
      </c>
      <c r="D65" s="33" t="n">
        <f aca="false">SUM(F65:H65)</f>
        <v>5701.04</v>
      </c>
      <c r="F65" s="33" t="n">
        <v>5701.04</v>
      </c>
    </row>
    <row r="66" customFormat="false" ht="15" hidden="false" customHeight="false" outlineLevel="0" collapsed="false">
      <c r="B66" s="5" t="s">
        <v>110</v>
      </c>
      <c r="D66" s="33" t="n">
        <f aca="false">SUM(F66:H66)</f>
        <v>55092.32</v>
      </c>
      <c r="F66" s="33" t="n">
        <v>55092.32</v>
      </c>
    </row>
    <row r="67" customFormat="false" ht="15" hidden="false" customHeight="false" outlineLevel="0" collapsed="false">
      <c r="B67" s="5" t="s">
        <v>111</v>
      </c>
      <c r="D67" s="33" t="n">
        <f aca="false">SUM(F67:H67)</f>
        <v>1505.06</v>
      </c>
      <c r="F67" s="33" t="n">
        <v>1505.06</v>
      </c>
    </row>
    <row r="68" customFormat="false" ht="15" hidden="false" customHeight="false" outlineLevel="0" collapsed="false">
      <c r="B68" s="5" t="s">
        <v>112</v>
      </c>
      <c r="D68" s="33" t="n">
        <f aca="false">SUM(F68:H68)</f>
        <v>3257.67</v>
      </c>
      <c r="F68" s="33" t="n">
        <v>3257.67</v>
      </c>
    </row>
    <row r="69" customFormat="false" ht="15" hidden="false" customHeight="false" outlineLevel="0" collapsed="false">
      <c r="B69" s="5" t="s">
        <v>113</v>
      </c>
      <c r="D69" s="33" t="n">
        <f aca="false">SUM(F69:H69)</f>
        <v>47550.94</v>
      </c>
      <c r="F69" s="33" t="n">
        <v>47550.94</v>
      </c>
    </row>
    <row r="70" customFormat="false" ht="15" hidden="false" customHeight="false" outlineLevel="0" collapsed="false">
      <c r="B70" s="5" t="s">
        <v>114</v>
      </c>
      <c r="D70" s="33" t="n">
        <f aca="false">SUM(F70:H70)</f>
        <v>3242.49</v>
      </c>
      <c r="F70" s="33" t="n">
        <v>3242.49</v>
      </c>
    </row>
    <row r="71" customFormat="false" ht="15" hidden="false" customHeight="false" outlineLevel="0" collapsed="false">
      <c r="B71" s="5" t="s">
        <v>115</v>
      </c>
      <c r="D71" s="33" t="n">
        <f aca="false">SUM(F71:H71)</f>
        <v>1371.03</v>
      </c>
      <c r="F71" s="33" t="n">
        <v>1371.03</v>
      </c>
    </row>
    <row r="72" customFormat="false" ht="15" hidden="false" customHeight="false" outlineLevel="0" collapsed="false">
      <c r="B72" s="5" t="s">
        <v>116</v>
      </c>
      <c r="D72" s="33" t="n">
        <f aca="false">SUM(F72:H72)</f>
        <v>5187.13</v>
      </c>
      <c r="F72" s="33" t="n">
        <v>5187.13</v>
      </c>
    </row>
    <row r="73" customFormat="false" ht="15" hidden="false" customHeight="false" outlineLevel="0" collapsed="false">
      <c r="B73" s="32" t="s">
        <v>117</v>
      </c>
    </row>
    <row r="74" customFormat="false" ht="15" hidden="false" customHeight="false" outlineLevel="0" collapsed="false">
      <c r="B74" s="5" t="s">
        <v>117</v>
      </c>
      <c r="D74" s="33" t="n">
        <f aca="false">SUM(F74:H74)</f>
        <v>88456.46</v>
      </c>
      <c r="H74" s="33" t="n">
        <v>88456.46</v>
      </c>
    </row>
    <row r="75" customFormat="false" ht="15" hidden="false" customHeight="false" outlineLevel="0" collapsed="false">
      <c r="B75" s="11" t="s">
        <v>98</v>
      </c>
      <c r="D75" s="34" t="n">
        <f aca="false">SUM(D62:D74)</f>
        <v>312303.13</v>
      </c>
      <c r="F75" s="34" t="n">
        <f aca="false">SUM(F62:F74)</f>
        <v>223846.67</v>
      </c>
      <c r="H75" s="34" t="n">
        <f aca="false">SUM(H62:H74)</f>
        <v>88456.46</v>
      </c>
    </row>
    <row r="76" customFormat="false" ht="15" hidden="false" customHeight="false" outlineLevel="0" collapsed="false">
      <c r="B76" s="30" t="s">
        <v>100</v>
      </c>
      <c r="F76" s="31" t="n">
        <f aca="false">F75/D75</f>
        <v>0.716760891893719</v>
      </c>
      <c r="H76" s="31" t="n">
        <f aca="false">H75/D75</f>
        <v>0.283239108106281</v>
      </c>
    </row>
    <row r="78" customFormat="false" ht="15" hidden="false" customHeight="false" outlineLevel="0" collapsed="false">
      <c r="A78" s="10" t="s">
        <v>118</v>
      </c>
    </row>
    <row r="79" customFormat="false" ht="15" hidden="false" customHeight="false" outlineLevel="0" collapsed="false">
      <c r="B79" s="4" t="s">
        <v>119</v>
      </c>
      <c r="D79" s="4" t="s">
        <v>72</v>
      </c>
      <c r="F79" s="4" t="s">
        <v>104</v>
      </c>
      <c r="H79" s="4" t="s">
        <v>105</v>
      </c>
    </row>
    <row r="80" customFormat="false" ht="15" hidden="false" customHeight="false" outlineLevel="0" collapsed="false">
      <c r="B80" s="5" t="str">
        <f aca="false">Site!B17</f>
        <v>2 - Building - Site - 15yr</v>
      </c>
      <c r="D80" s="33" t="n">
        <f aca="false">SUM(F80:H80)</f>
        <v>182460.43</v>
      </c>
      <c r="F80" s="33" t="n">
        <f aca="false">Site!D17</f>
        <v>182460.43</v>
      </c>
    </row>
    <row r="81" customFormat="false" ht="15" hidden="false" customHeight="false" outlineLevel="0" collapsed="false">
      <c r="B81" s="5" t="str">
        <f aca="false">Site!B18</f>
        <v>2 - Building - Site - 27.5yr</v>
      </c>
      <c r="D81" s="33" t="n">
        <f aca="false">SUM(F81:H81)</f>
        <v>72102.05</v>
      </c>
      <c r="H81" s="33" t="n">
        <f aca="false">Site!D18</f>
        <v>72102.05</v>
      </c>
    </row>
    <row r="82" customFormat="false" ht="15" hidden="false" customHeight="false" outlineLevel="0" collapsed="false">
      <c r="B82" s="5" t="str">
        <f aca="false">Site!B19</f>
        <v>4 - Equipment - Site - 15yr</v>
      </c>
      <c r="D82" s="33" t="n">
        <f aca="false">SUM(F82:H82)</f>
        <v>22639.97</v>
      </c>
      <c r="F82" s="33" t="n">
        <f aca="false">Site!D19</f>
        <v>22639.97</v>
      </c>
    </row>
    <row r="83" customFormat="false" ht="15" hidden="false" customHeight="false" outlineLevel="0" collapsed="false">
      <c r="B83" s="5" t="str">
        <f aca="false">Site!B20</f>
        <v>4 - Equipment - Site - 27.5yr</v>
      </c>
      <c r="D83" s="33" t="n">
        <f aca="false">SUM(F83:H83)</f>
        <v>8946.53</v>
      </c>
      <c r="H83" s="33" t="n">
        <f aca="false">Site!D20</f>
        <v>8946.53</v>
      </c>
    </row>
    <row r="84" customFormat="false" ht="15" hidden="false" customHeight="false" outlineLevel="0" collapsed="false">
      <c r="B84" s="5" t="str">
        <f aca="false">Site!B21</f>
        <v>5 - Land Improvements - Site - 15yr</v>
      </c>
      <c r="D84" s="33" t="n">
        <f aca="false">SUM(F84:H84)</f>
        <v>18746.27</v>
      </c>
      <c r="F84" s="33" t="n">
        <f aca="false">Site!D21</f>
        <v>18746.27</v>
      </c>
    </row>
    <row r="85" customFormat="false" ht="15" hidden="false" customHeight="false" outlineLevel="0" collapsed="false">
      <c r="B85" s="5" t="str">
        <f aca="false">Site!B22</f>
        <v>5 - Land Improvements - Site - 27.5yr</v>
      </c>
      <c r="D85" s="33" t="n">
        <f aca="false">SUM(F85:H85)</f>
        <v>7407.88</v>
      </c>
      <c r="H85" s="33" t="n">
        <f aca="false">Site!D22</f>
        <v>7407.88</v>
      </c>
    </row>
    <row r="86" customFormat="false" ht="15" hidden="false" customHeight="false" outlineLevel="0" collapsed="false">
      <c r="B86" s="11" t="s">
        <v>120</v>
      </c>
      <c r="D86" s="34" t="n">
        <f aca="false">SUM(D80:D85)</f>
        <v>312303.13</v>
      </c>
      <c r="F86" s="34" t="n">
        <f aca="false">SUM(F80:F85)</f>
        <v>223846.67</v>
      </c>
      <c r="H86" s="34" t="n">
        <f aca="false">SUM(H80:H85)</f>
        <v>88456.46</v>
      </c>
    </row>
    <row r="87" customFormat="false" ht="15" hidden="false" customHeight="false" outlineLevel="0" collapsed="false">
      <c r="B87" s="16" t="s">
        <v>121</v>
      </c>
      <c r="D87" s="17" t="n">
        <f aca="false">D86-D75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122</v>
      </c>
    </row>
    <row r="5" customFormat="false" ht="15" hidden="false" customHeight="false" outlineLevel="0" collapsed="false">
      <c r="A5" s="16" t="s">
        <v>66</v>
      </c>
    </row>
    <row r="7" customFormat="false" ht="15" hidden="false" customHeight="false" outlineLevel="0" collapsed="false">
      <c r="A7" s="10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79</v>
      </c>
      <c r="L9" s="4" t="s">
        <v>80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15</v>
      </c>
      <c r="D10" s="24" t="n">
        <v>389188.67</v>
      </c>
      <c r="E10" s="24" t="n">
        <v>0</v>
      </c>
      <c r="F10" s="24" t="n">
        <v>0</v>
      </c>
      <c r="G10" s="24" t="n">
        <v>106731.69</v>
      </c>
      <c r="H10" s="24" t="n">
        <v>14152.27</v>
      </c>
      <c r="I10" s="24" t="n">
        <f aca="false">G10+H10</f>
        <v>120883.96</v>
      </c>
      <c r="J10" s="24" t="n">
        <f aca="false">D10-I10</f>
        <v>268304.71</v>
      </c>
      <c r="K10" s="25" t="s">
        <v>81</v>
      </c>
      <c r="L10" s="25" t="s">
        <v>82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15</v>
      </c>
      <c r="D11" s="24" t="n">
        <v>48291.12</v>
      </c>
      <c r="E11" s="24" t="n">
        <v>0</v>
      </c>
      <c r="F11" s="24" t="n">
        <v>0</v>
      </c>
      <c r="G11" s="24" t="n">
        <v>48291.12</v>
      </c>
      <c r="H11" s="24" t="n">
        <v>0</v>
      </c>
      <c r="I11" s="24" t="n">
        <f aca="false">G11+H11</f>
        <v>48291.12</v>
      </c>
      <c r="J11" s="24" t="n">
        <f aca="false">D11-I11</f>
        <v>0</v>
      </c>
      <c r="K11" s="25" t="s">
        <v>83</v>
      </c>
      <c r="L11" s="25" t="s">
        <v>84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15</v>
      </c>
      <c r="D12" s="24" t="n">
        <v>39985.86</v>
      </c>
      <c r="E12" s="24" t="n">
        <v>0</v>
      </c>
      <c r="F12" s="24" t="n">
        <v>0</v>
      </c>
      <c r="G12" s="24" t="n">
        <v>19817.9</v>
      </c>
      <c r="H12" s="24" t="n">
        <v>2361.05</v>
      </c>
      <c r="I12" s="24" t="n">
        <f aca="false">G12+H12</f>
        <v>22178.95</v>
      </c>
      <c r="J12" s="24" t="n">
        <f aca="false">D12-I12</f>
        <v>17806.91</v>
      </c>
      <c r="K12" s="25" t="s">
        <v>85</v>
      </c>
      <c r="L12" s="25" t="s">
        <v>86</v>
      </c>
    </row>
    <row r="13" customFormat="false" ht="15" hidden="false" customHeight="false" outlineLevel="0" collapsed="false">
      <c r="A13" s="26"/>
      <c r="B13" s="27" t="s">
        <v>28</v>
      </c>
      <c r="C13" s="26"/>
      <c r="D13" s="28" t="n">
        <f aca="false">SUM(D10:D12)</f>
        <v>477465.65</v>
      </c>
      <c r="E13" s="28" t="n">
        <f aca="false">SUM(E10:E12)</f>
        <v>0</v>
      </c>
      <c r="F13" s="28" t="n">
        <f aca="false">SUM(F10:F12)</f>
        <v>0</v>
      </c>
      <c r="G13" s="28" t="n">
        <f aca="false">SUM(G10:G12)</f>
        <v>174840.71</v>
      </c>
      <c r="H13" s="28" t="n">
        <f aca="false">SUM(H10:H12)</f>
        <v>16513.32</v>
      </c>
      <c r="I13" s="28" t="n">
        <f aca="false">SUM(I10:I12)</f>
        <v>191354.03</v>
      </c>
      <c r="J13" s="28" t="n">
        <f aca="false">SUM(J10:J12)</f>
        <v>286111.62</v>
      </c>
      <c r="K13" s="26"/>
      <c r="L13" s="26"/>
    </row>
    <row r="15" customFormat="false" ht="15" hidden="false" customHeight="false" outlineLevel="0" collapsed="false">
      <c r="A15" s="21" t="s">
        <v>87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4" t="s">
        <v>75</v>
      </c>
      <c r="H16" s="4" t="s">
        <v>76</v>
      </c>
      <c r="I16" s="4" t="s">
        <v>77</v>
      </c>
      <c r="J16" s="4" t="s">
        <v>78</v>
      </c>
      <c r="K16" s="4" t="s">
        <v>79</v>
      </c>
      <c r="L16" s="4" t="s">
        <v>80</v>
      </c>
    </row>
    <row r="17" customFormat="false" ht="15" hidden="false" customHeight="false" outlineLevel="0" collapsed="false">
      <c r="A17" s="23" t="n">
        <v>1</v>
      </c>
      <c r="B17" s="23" t="s">
        <v>36</v>
      </c>
      <c r="C17" s="23" t="s">
        <v>15</v>
      </c>
      <c r="D17" s="24" t="n">
        <v>99963.17</v>
      </c>
      <c r="E17" s="24" t="n">
        <v>0</v>
      </c>
      <c r="F17" s="24" t="n">
        <v>0</v>
      </c>
      <c r="G17" s="24" t="n">
        <v>99963.17</v>
      </c>
      <c r="H17" s="24" t="n">
        <v>0</v>
      </c>
      <c r="I17" s="24" t="n">
        <f aca="false">G17+H17</f>
        <v>99963.17</v>
      </c>
      <c r="J17" s="24" t="n">
        <f aca="false">D17-I17</f>
        <v>0</v>
      </c>
      <c r="K17" s="25" t="s">
        <v>83</v>
      </c>
      <c r="L17" s="25" t="s">
        <v>84</v>
      </c>
    </row>
    <row r="18" customFormat="false" ht="15" hidden="false" customHeight="false" outlineLevel="0" collapsed="false">
      <c r="A18" s="23" t="n">
        <v>2</v>
      </c>
      <c r="B18" s="23" t="s">
        <v>37</v>
      </c>
      <c r="C18" s="23" t="s">
        <v>15</v>
      </c>
      <c r="D18" s="24" t="n">
        <v>289225.5</v>
      </c>
      <c r="E18" s="24" t="n">
        <v>0</v>
      </c>
      <c r="F18" s="24" t="n">
        <v>0</v>
      </c>
      <c r="G18" s="24" t="n">
        <v>106742.11</v>
      </c>
      <c r="H18" s="24" t="n">
        <v>10517.29</v>
      </c>
      <c r="I18" s="24" t="n">
        <f aca="false">G18+H18</f>
        <v>117259.4</v>
      </c>
      <c r="J18" s="24" t="n">
        <f aca="false">D18-I18</f>
        <v>171966.1</v>
      </c>
      <c r="K18" s="25" t="s">
        <v>81</v>
      </c>
      <c r="L18" s="25" t="s">
        <v>82</v>
      </c>
    </row>
    <row r="19" customFormat="false" ht="15" hidden="false" customHeight="false" outlineLevel="0" collapsed="false">
      <c r="A19" s="23" t="n">
        <v>3</v>
      </c>
      <c r="B19" s="23" t="s">
        <v>38</v>
      </c>
      <c r="C19" s="23" t="s">
        <v>15</v>
      </c>
      <c r="D19" s="24" t="n">
        <v>12403.58</v>
      </c>
      <c r="E19" s="24" t="n">
        <v>0</v>
      </c>
      <c r="F19" s="24" t="n">
        <v>0</v>
      </c>
      <c r="G19" s="24" t="n">
        <v>12403.58</v>
      </c>
      <c r="H19" s="24" t="n">
        <v>0</v>
      </c>
      <c r="I19" s="24" t="n">
        <f aca="false">G19+H19</f>
        <v>12403.58</v>
      </c>
      <c r="J19" s="24" t="n">
        <f aca="false">D19-I19</f>
        <v>0</v>
      </c>
      <c r="K19" s="25" t="s">
        <v>83</v>
      </c>
      <c r="L19" s="25" t="s">
        <v>84</v>
      </c>
    </row>
    <row r="20" customFormat="false" ht="15" hidden="false" customHeight="false" outlineLevel="0" collapsed="false">
      <c r="A20" s="23" t="n">
        <v>4</v>
      </c>
      <c r="B20" s="23" t="s">
        <v>39</v>
      </c>
      <c r="C20" s="23" t="s">
        <v>15</v>
      </c>
      <c r="D20" s="24" t="n">
        <v>35887.54</v>
      </c>
      <c r="E20" s="24" t="n">
        <v>0</v>
      </c>
      <c r="F20" s="24" t="n">
        <v>0</v>
      </c>
      <c r="G20" s="24" t="n">
        <v>9841.88</v>
      </c>
      <c r="H20" s="24" t="n">
        <v>1305</v>
      </c>
      <c r="I20" s="24" t="n">
        <f aca="false">G20+H20</f>
        <v>11146.88</v>
      </c>
      <c r="J20" s="24" t="n">
        <f aca="false">D20-I20</f>
        <v>24740.66</v>
      </c>
      <c r="K20" s="25" t="s">
        <v>81</v>
      </c>
      <c r="L20" s="25" t="s">
        <v>82</v>
      </c>
    </row>
    <row r="21" customFormat="false" ht="15" hidden="false" customHeight="false" outlineLevel="0" collapsed="false">
      <c r="A21" s="23" t="n">
        <v>5</v>
      </c>
      <c r="B21" s="23" t="s">
        <v>40</v>
      </c>
      <c r="C21" s="23" t="s">
        <v>15</v>
      </c>
      <c r="D21" s="24" t="n">
        <v>10270.37</v>
      </c>
      <c r="E21" s="24" t="n">
        <v>0</v>
      </c>
      <c r="F21" s="24" t="n">
        <v>0</v>
      </c>
      <c r="G21" s="24" t="n">
        <v>10270.37</v>
      </c>
      <c r="H21" s="24" t="n">
        <v>0</v>
      </c>
      <c r="I21" s="24" t="n">
        <f aca="false">G21+H21</f>
        <v>10270.37</v>
      </c>
      <c r="J21" s="24" t="n">
        <f aca="false">D21-I21</f>
        <v>0</v>
      </c>
      <c r="K21" s="25" t="s">
        <v>83</v>
      </c>
      <c r="L21" s="25" t="s">
        <v>84</v>
      </c>
    </row>
    <row r="22" customFormat="false" ht="15" hidden="false" customHeight="false" outlineLevel="0" collapsed="false">
      <c r="A22" s="23" t="n">
        <v>6</v>
      </c>
      <c r="B22" s="23" t="s">
        <v>41</v>
      </c>
      <c r="C22" s="23" t="s">
        <v>15</v>
      </c>
      <c r="D22" s="24" t="n">
        <v>29715.49</v>
      </c>
      <c r="E22" s="24" t="n">
        <v>0</v>
      </c>
      <c r="F22" s="24" t="n">
        <v>0</v>
      </c>
      <c r="G22" s="24" t="n">
        <v>8149.23</v>
      </c>
      <c r="H22" s="24" t="n">
        <v>1080.56</v>
      </c>
      <c r="I22" s="24" t="n">
        <f aca="false">G22+H22</f>
        <v>9229.79</v>
      </c>
      <c r="J22" s="24" t="n">
        <f aca="false">D22-I22</f>
        <v>20485.7</v>
      </c>
      <c r="K22" s="25" t="s">
        <v>81</v>
      </c>
      <c r="L22" s="25" t="s">
        <v>82</v>
      </c>
    </row>
    <row r="23" customFormat="false" ht="15" hidden="false" customHeight="false" outlineLevel="0" collapsed="false">
      <c r="A23" s="26"/>
      <c r="B23" s="27" t="s">
        <v>28</v>
      </c>
      <c r="C23" s="26"/>
      <c r="D23" s="28" t="n">
        <f aca="false">SUM(D17:D22)</f>
        <v>477465.65</v>
      </c>
      <c r="E23" s="28" t="n">
        <f aca="false">SUM(E17:E22)</f>
        <v>0</v>
      </c>
      <c r="F23" s="28" t="n">
        <f aca="false">SUM(F17:F22)</f>
        <v>0</v>
      </c>
      <c r="G23" s="28" t="n">
        <f aca="false">SUM(G17:G22)</f>
        <v>247370.34</v>
      </c>
      <c r="H23" s="28" t="n">
        <f aca="false">SUM(H17:H22)</f>
        <v>12902.85</v>
      </c>
      <c r="I23" s="28" t="n">
        <f aca="false">SUM(I17:I22)</f>
        <v>260273.19</v>
      </c>
      <c r="J23" s="28" t="n">
        <f aca="false">SUM(J17:J22)</f>
        <v>217192.46</v>
      </c>
      <c r="K23" s="26"/>
      <c r="L23" s="26"/>
    </row>
    <row r="25" customFormat="false" ht="15" hidden="false" customHeight="false" outlineLevel="0" collapsed="false">
      <c r="B25" s="18" t="s">
        <v>88</v>
      </c>
    </row>
    <row r="26" customFormat="false" ht="15" hidden="false" customHeight="false" outlineLevel="0" collapsed="false">
      <c r="B26" s="5" t="s">
        <v>89</v>
      </c>
      <c r="D26" s="6" t="n">
        <f aca="false">I13</f>
        <v>191354.03</v>
      </c>
    </row>
    <row r="27" customFormat="false" ht="15" hidden="false" customHeight="false" outlineLevel="0" collapsed="false">
      <c r="B27" s="5" t="s">
        <v>90</v>
      </c>
      <c r="D27" s="6" t="n">
        <f aca="false">I23</f>
        <v>260273.19</v>
      </c>
    </row>
    <row r="28" customFormat="false" ht="15" hidden="false" customHeight="false" outlineLevel="0" collapsed="false">
      <c r="B28" s="11" t="s">
        <v>88</v>
      </c>
      <c r="D28" s="29" t="n">
        <f aca="false">D26-D27</f>
        <v>-68919.16</v>
      </c>
    </row>
    <row r="30" customFormat="false" ht="15" hidden="false" customHeight="false" outlineLevel="0" collapsed="false">
      <c r="A30" s="10" t="s">
        <v>91</v>
      </c>
    </row>
    <row r="31" customFormat="false" ht="15" hidden="false" customHeight="false" outlineLevel="0" collapsed="false">
      <c r="A31" s="21" t="s">
        <v>92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69</v>
      </c>
      <c r="B32" s="4" t="s">
        <v>70</v>
      </c>
      <c r="C32" s="4" t="s">
        <v>71</v>
      </c>
      <c r="D32" s="4" t="s">
        <v>72</v>
      </c>
      <c r="E32" s="4" t="s">
        <v>73</v>
      </c>
      <c r="F32" s="4" t="s">
        <v>74</v>
      </c>
      <c r="G32" s="4" t="s">
        <v>93</v>
      </c>
      <c r="H32" s="4" t="s">
        <v>94</v>
      </c>
      <c r="I32" s="4" t="s">
        <v>77</v>
      </c>
      <c r="J32" s="4" t="s">
        <v>78</v>
      </c>
      <c r="K32" s="4" t="s">
        <v>79</v>
      </c>
      <c r="L32" s="4" t="s">
        <v>80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15</v>
      </c>
      <c r="D33" s="24" t="n">
        <v>389188.67</v>
      </c>
      <c r="E33" s="24" t="n">
        <v>0</v>
      </c>
      <c r="F33" s="24" t="n">
        <v>0</v>
      </c>
      <c r="G33" s="24" t="n">
        <v>106731.69</v>
      </c>
      <c r="H33" s="24" t="n">
        <v>14152.27</v>
      </c>
      <c r="I33" s="24" t="n">
        <f aca="false">G33+H33</f>
        <v>120883.96</v>
      </c>
      <c r="J33" s="24" t="n">
        <f aca="false">D33-I33</f>
        <v>268304.71</v>
      </c>
      <c r="K33" s="25" t="s">
        <v>81</v>
      </c>
      <c r="L33" s="25" t="s">
        <v>82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15</v>
      </c>
      <c r="D34" s="24" t="n">
        <v>48291.12</v>
      </c>
      <c r="E34" s="24" t="n">
        <v>0</v>
      </c>
      <c r="F34" s="24" t="n">
        <v>0</v>
      </c>
      <c r="G34" s="24" t="n">
        <v>48291.12</v>
      </c>
      <c r="H34" s="24" t="n">
        <v>0</v>
      </c>
      <c r="I34" s="24" t="n">
        <f aca="false">G34+H34</f>
        <v>48291.12</v>
      </c>
      <c r="J34" s="24" t="n">
        <f aca="false">D34-I34</f>
        <v>0</v>
      </c>
      <c r="K34" s="25" t="s">
        <v>83</v>
      </c>
      <c r="L34" s="25" t="s">
        <v>84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15</v>
      </c>
      <c r="D35" s="24" t="n">
        <v>39985.86</v>
      </c>
      <c r="E35" s="24" t="n">
        <v>0</v>
      </c>
      <c r="F35" s="24" t="n">
        <v>0</v>
      </c>
      <c r="G35" s="24" t="n">
        <v>19817.9</v>
      </c>
      <c r="H35" s="24" t="n">
        <v>2361.05</v>
      </c>
      <c r="I35" s="24" t="n">
        <f aca="false">G35+H35</f>
        <v>22178.95</v>
      </c>
      <c r="J35" s="24" t="n">
        <f aca="false">D35-I35</f>
        <v>17806.91</v>
      </c>
      <c r="K35" s="25" t="s">
        <v>85</v>
      </c>
      <c r="L35" s="25" t="s">
        <v>86</v>
      </c>
    </row>
    <row r="36" customFormat="false" ht="15" hidden="false" customHeight="false" outlineLevel="0" collapsed="false">
      <c r="A36" s="26"/>
      <c r="B36" s="27" t="s">
        <v>28</v>
      </c>
      <c r="C36" s="26"/>
      <c r="D36" s="28" t="n">
        <f aca="false">SUM(D33:D35)</f>
        <v>477465.65</v>
      </c>
      <c r="E36" s="28" t="n">
        <f aca="false">SUM(E33:E35)</f>
        <v>0</v>
      </c>
      <c r="F36" s="28" t="n">
        <f aca="false">SUM(F33:F35)</f>
        <v>0</v>
      </c>
      <c r="G36" s="28" t="n">
        <f aca="false">SUM(G33:G35)</f>
        <v>174840.71</v>
      </c>
      <c r="H36" s="28" t="n">
        <f aca="false">SUM(H33:H35)</f>
        <v>16513.32</v>
      </c>
      <c r="I36" s="28" t="n">
        <f aca="false">SUM(I33:I35)</f>
        <v>191354.03</v>
      </c>
      <c r="J36" s="28" t="n">
        <f aca="false">SUM(J33:J35)</f>
        <v>286111.62</v>
      </c>
      <c r="K36" s="26"/>
      <c r="L36" s="26"/>
    </row>
    <row r="38" customFormat="false" ht="15" hidden="false" customHeight="false" outlineLevel="0" collapsed="false">
      <c r="A38" s="21" t="s">
        <v>95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69</v>
      </c>
      <c r="B39" s="4" t="s">
        <v>70</v>
      </c>
      <c r="C39" s="4" t="s">
        <v>71</v>
      </c>
      <c r="D39" s="4" t="s">
        <v>72</v>
      </c>
      <c r="E39" s="4" t="s">
        <v>73</v>
      </c>
      <c r="F39" s="4" t="s">
        <v>74</v>
      </c>
      <c r="G39" s="4" t="s">
        <v>93</v>
      </c>
      <c r="H39" s="4" t="s">
        <v>94</v>
      </c>
      <c r="I39" s="4" t="s">
        <v>77</v>
      </c>
      <c r="J39" s="4" t="s">
        <v>78</v>
      </c>
      <c r="K39" s="4" t="s">
        <v>79</v>
      </c>
      <c r="L39" s="4" t="s">
        <v>80</v>
      </c>
    </row>
    <row r="40" customFormat="false" ht="15" hidden="false" customHeight="false" outlineLevel="0" collapsed="false">
      <c r="A40" s="23" t="n">
        <v>1</v>
      </c>
      <c r="B40" s="23" t="s">
        <v>36</v>
      </c>
      <c r="C40" s="23" t="s">
        <v>15</v>
      </c>
      <c r="D40" s="24" t="n">
        <v>99963.17</v>
      </c>
      <c r="E40" s="24" t="n">
        <v>0</v>
      </c>
      <c r="F40" s="24" t="n">
        <v>0</v>
      </c>
      <c r="G40" s="24" t="n">
        <v>99963.17</v>
      </c>
      <c r="H40" s="24" t="n">
        <v>0</v>
      </c>
      <c r="I40" s="24" t="n">
        <f aca="false">G40+H40</f>
        <v>99963.17</v>
      </c>
      <c r="J40" s="24" t="n">
        <f aca="false">D40-I40</f>
        <v>0</v>
      </c>
      <c r="K40" s="25" t="s">
        <v>83</v>
      </c>
      <c r="L40" s="25" t="s">
        <v>84</v>
      </c>
    </row>
    <row r="41" customFormat="false" ht="15" hidden="false" customHeight="false" outlineLevel="0" collapsed="false">
      <c r="A41" s="23" t="n">
        <v>2</v>
      </c>
      <c r="B41" s="23" t="s">
        <v>37</v>
      </c>
      <c r="C41" s="23" t="s">
        <v>15</v>
      </c>
      <c r="D41" s="24" t="n">
        <v>289225.5</v>
      </c>
      <c r="E41" s="24" t="n">
        <v>0</v>
      </c>
      <c r="F41" s="24" t="n">
        <v>0</v>
      </c>
      <c r="G41" s="24" t="n">
        <v>106742.11</v>
      </c>
      <c r="H41" s="24" t="n">
        <v>10517.29</v>
      </c>
      <c r="I41" s="24" t="n">
        <f aca="false">G41+H41</f>
        <v>117259.4</v>
      </c>
      <c r="J41" s="24" t="n">
        <f aca="false">D41-I41</f>
        <v>171966.1</v>
      </c>
      <c r="K41" s="25" t="s">
        <v>81</v>
      </c>
      <c r="L41" s="25" t="s">
        <v>82</v>
      </c>
    </row>
    <row r="42" customFormat="false" ht="15" hidden="false" customHeight="false" outlineLevel="0" collapsed="false">
      <c r="A42" s="23" t="n">
        <v>3</v>
      </c>
      <c r="B42" s="23" t="s">
        <v>38</v>
      </c>
      <c r="C42" s="23" t="s">
        <v>15</v>
      </c>
      <c r="D42" s="24" t="n">
        <v>12403.58</v>
      </c>
      <c r="E42" s="24" t="n">
        <v>0</v>
      </c>
      <c r="F42" s="24" t="n">
        <v>0</v>
      </c>
      <c r="G42" s="24" t="n">
        <v>12403.58</v>
      </c>
      <c r="H42" s="24" t="n">
        <v>0</v>
      </c>
      <c r="I42" s="24" t="n">
        <f aca="false">G42+H42</f>
        <v>12403.58</v>
      </c>
      <c r="J42" s="24" t="n">
        <f aca="false">D42-I42</f>
        <v>0</v>
      </c>
      <c r="K42" s="25" t="s">
        <v>83</v>
      </c>
      <c r="L42" s="25" t="s">
        <v>84</v>
      </c>
    </row>
    <row r="43" customFormat="false" ht="15" hidden="false" customHeight="false" outlineLevel="0" collapsed="false">
      <c r="A43" s="23" t="n">
        <v>4</v>
      </c>
      <c r="B43" s="23" t="s">
        <v>39</v>
      </c>
      <c r="C43" s="23" t="s">
        <v>15</v>
      </c>
      <c r="D43" s="24" t="n">
        <v>35887.54</v>
      </c>
      <c r="E43" s="24" t="n">
        <v>0</v>
      </c>
      <c r="F43" s="24" t="n">
        <v>0</v>
      </c>
      <c r="G43" s="24" t="n">
        <v>9841.88</v>
      </c>
      <c r="H43" s="24" t="n">
        <v>1305</v>
      </c>
      <c r="I43" s="24" t="n">
        <f aca="false">G43+H43</f>
        <v>11146.88</v>
      </c>
      <c r="J43" s="24" t="n">
        <f aca="false">D43-I43</f>
        <v>24740.66</v>
      </c>
      <c r="K43" s="25" t="s">
        <v>81</v>
      </c>
      <c r="L43" s="25" t="s">
        <v>82</v>
      </c>
    </row>
    <row r="44" customFormat="false" ht="15" hidden="false" customHeight="false" outlineLevel="0" collapsed="false">
      <c r="A44" s="23" t="n">
        <v>5</v>
      </c>
      <c r="B44" s="23" t="s">
        <v>40</v>
      </c>
      <c r="C44" s="23" t="s">
        <v>15</v>
      </c>
      <c r="D44" s="24" t="n">
        <v>10270.37</v>
      </c>
      <c r="E44" s="24" t="n">
        <v>0</v>
      </c>
      <c r="F44" s="24" t="n">
        <v>0</v>
      </c>
      <c r="G44" s="24" t="n">
        <v>10270.37</v>
      </c>
      <c r="H44" s="24" t="n">
        <v>0</v>
      </c>
      <c r="I44" s="24" t="n">
        <f aca="false">G44+H44</f>
        <v>10270.37</v>
      </c>
      <c r="J44" s="24" t="n">
        <f aca="false">D44-I44</f>
        <v>0</v>
      </c>
      <c r="K44" s="25" t="s">
        <v>83</v>
      </c>
      <c r="L44" s="25" t="s">
        <v>84</v>
      </c>
    </row>
    <row r="45" customFormat="false" ht="15" hidden="false" customHeight="false" outlineLevel="0" collapsed="false">
      <c r="A45" s="23" t="n">
        <v>6</v>
      </c>
      <c r="B45" s="23" t="s">
        <v>41</v>
      </c>
      <c r="C45" s="23" t="s">
        <v>15</v>
      </c>
      <c r="D45" s="24" t="n">
        <v>29715.49</v>
      </c>
      <c r="E45" s="24" t="n">
        <v>0</v>
      </c>
      <c r="F45" s="24" t="n">
        <v>0</v>
      </c>
      <c r="G45" s="24" t="n">
        <v>8149.23</v>
      </c>
      <c r="H45" s="24" t="n">
        <v>1080.56</v>
      </c>
      <c r="I45" s="24" t="n">
        <f aca="false">G45+H45</f>
        <v>9229.79</v>
      </c>
      <c r="J45" s="24" t="n">
        <f aca="false">D45-I45</f>
        <v>20485.7</v>
      </c>
      <c r="K45" s="25" t="s">
        <v>81</v>
      </c>
      <c r="L45" s="25" t="s">
        <v>82</v>
      </c>
    </row>
    <row r="46" customFormat="false" ht="15" hidden="false" customHeight="false" outlineLevel="0" collapsed="false">
      <c r="A46" s="26"/>
      <c r="B46" s="27" t="s">
        <v>28</v>
      </c>
      <c r="C46" s="26"/>
      <c r="D46" s="28" t="n">
        <f aca="false">SUM(D40:D45)</f>
        <v>477465.65</v>
      </c>
      <c r="E46" s="28" t="n">
        <f aca="false">SUM(E40:E45)</f>
        <v>0</v>
      </c>
      <c r="F46" s="28" t="n">
        <f aca="false">SUM(F40:F45)</f>
        <v>0</v>
      </c>
      <c r="G46" s="28" t="n">
        <f aca="false">SUM(G40:G45)</f>
        <v>247370.34</v>
      </c>
      <c r="H46" s="28" t="n">
        <f aca="false">SUM(H40:H45)</f>
        <v>12902.85</v>
      </c>
      <c r="I46" s="28" t="n">
        <f aca="false">SUM(I40:I45)</f>
        <v>260273.19</v>
      </c>
      <c r="J46" s="28" t="n">
        <f aca="false">SUM(J40:J45)</f>
        <v>217192.46</v>
      </c>
      <c r="K46" s="26"/>
      <c r="L46" s="26"/>
    </row>
    <row r="48" customFormat="false" ht="15" hidden="false" customHeight="false" outlineLevel="0" collapsed="false">
      <c r="B48" s="18" t="s">
        <v>96</v>
      </c>
    </row>
    <row r="49" customFormat="false" ht="15" hidden="false" customHeight="false" outlineLevel="0" collapsed="false">
      <c r="B49" s="5" t="s">
        <v>89</v>
      </c>
      <c r="D49" s="6" t="n">
        <f aca="false">I36</f>
        <v>191354.03</v>
      </c>
    </row>
    <row r="50" customFormat="false" ht="15" hidden="false" customHeight="false" outlineLevel="0" collapsed="false">
      <c r="B50" s="5" t="s">
        <v>90</v>
      </c>
      <c r="D50" s="6" t="n">
        <f aca="false">I46</f>
        <v>260273.19</v>
      </c>
    </row>
    <row r="51" customFormat="false" ht="15" hidden="false" customHeight="false" outlineLevel="0" collapsed="false">
      <c r="B51" s="11" t="s">
        <v>96</v>
      </c>
      <c r="D51" s="29" t="n">
        <f aca="false">D49-D50</f>
        <v>-68919.16</v>
      </c>
    </row>
    <row r="53" customFormat="false" ht="15" hidden="false" customHeight="false" outlineLevel="0" collapsed="false">
      <c r="A53" s="10" t="s">
        <v>97</v>
      </c>
    </row>
    <row r="54" customFormat="false" ht="15" hidden="false" customHeight="false" outlineLevel="0" collapsed="false">
      <c r="B54" s="11" t="s">
        <v>123</v>
      </c>
      <c r="D54" s="12" t="n">
        <f aca="false">D95</f>
        <v>477465.65</v>
      </c>
    </row>
    <row r="55" customFormat="false" ht="15" hidden="false" customHeight="false" outlineLevel="0" collapsed="false">
      <c r="B55" s="5" t="s">
        <v>124</v>
      </c>
      <c r="D55" s="6" t="n">
        <f aca="false">F95</f>
        <v>122637.12</v>
      </c>
    </row>
    <row r="56" customFormat="false" ht="15" hidden="false" customHeight="false" outlineLevel="0" collapsed="false">
      <c r="B56" s="30" t="s">
        <v>100</v>
      </c>
      <c r="D56" s="31" t="n">
        <f aca="false">F96</f>
        <v>0.256850141994508</v>
      </c>
    </row>
    <row r="57" customFormat="false" ht="15" hidden="false" customHeight="false" outlineLevel="0" collapsed="false">
      <c r="B57" s="5" t="s">
        <v>125</v>
      </c>
      <c r="D57" s="6" t="n">
        <f aca="false">H95</f>
        <v>354828.53</v>
      </c>
    </row>
    <row r="58" customFormat="false" ht="15" hidden="false" customHeight="false" outlineLevel="0" collapsed="false">
      <c r="B58" s="30" t="s">
        <v>100</v>
      </c>
      <c r="D58" s="31" t="n">
        <f aca="false">H96</f>
        <v>0.743149858005492</v>
      </c>
    </row>
    <row r="60" customFormat="false" ht="15" hidden="false" customHeight="false" outlineLevel="0" collapsed="false">
      <c r="A60" s="10" t="s">
        <v>102</v>
      </c>
    </row>
    <row r="61" customFormat="false" ht="15" hidden="false" customHeight="false" outlineLevel="0" collapsed="false">
      <c r="B61" s="4" t="s">
        <v>103</v>
      </c>
      <c r="D61" s="4" t="s">
        <v>72</v>
      </c>
      <c r="F61" s="4" t="s">
        <v>126</v>
      </c>
      <c r="H61" s="4" t="s">
        <v>105</v>
      </c>
    </row>
    <row r="62" customFormat="false" ht="15" hidden="false" customHeight="false" outlineLevel="0" collapsed="false">
      <c r="B62" s="32" t="s">
        <v>127</v>
      </c>
    </row>
    <row r="63" customFormat="false" ht="15" hidden="false" customHeight="false" outlineLevel="0" collapsed="false">
      <c r="B63" s="5" t="s">
        <v>128</v>
      </c>
      <c r="D63" s="33" t="n">
        <f aca="false">SUM(F63:H63)</f>
        <v>28387.8</v>
      </c>
      <c r="F63" s="33" t="n">
        <v>28387.8</v>
      </c>
    </row>
    <row r="64" customFormat="false" ht="15" hidden="false" customHeight="false" outlineLevel="0" collapsed="false">
      <c r="B64" s="5" t="s">
        <v>129</v>
      </c>
      <c r="D64" s="33" t="n">
        <f aca="false">SUM(F64:H64)</f>
        <v>5287.63</v>
      </c>
      <c r="F64" s="33" t="n">
        <v>5287.63</v>
      </c>
    </row>
    <row r="65" customFormat="false" ht="15" hidden="false" customHeight="false" outlineLevel="0" collapsed="false">
      <c r="B65" s="5" t="s">
        <v>130</v>
      </c>
      <c r="D65" s="33" t="n">
        <f aca="false">SUM(F65:H65)</f>
        <v>1395.33</v>
      </c>
      <c r="F65" s="33" t="n">
        <v>1395.33</v>
      </c>
    </row>
    <row r="66" customFormat="false" ht="15" hidden="false" customHeight="false" outlineLevel="0" collapsed="false">
      <c r="B66" s="5" t="s">
        <v>131</v>
      </c>
      <c r="D66" s="33" t="n">
        <f aca="false">SUM(F66:H66)</f>
        <v>9950.29</v>
      </c>
      <c r="F66" s="33" t="n">
        <v>9950.29</v>
      </c>
    </row>
    <row r="67" customFormat="false" ht="15" hidden="false" customHeight="false" outlineLevel="0" collapsed="false">
      <c r="B67" s="5" t="s">
        <v>132</v>
      </c>
      <c r="D67" s="33" t="n">
        <f aca="false">SUM(F67:H67)</f>
        <v>25002.18</v>
      </c>
      <c r="F67" s="33" t="n">
        <v>25002.18</v>
      </c>
    </row>
    <row r="68" customFormat="false" ht="15" hidden="false" customHeight="false" outlineLevel="0" collapsed="false">
      <c r="B68" s="5" t="s">
        <v>133</v>
      </c>
      <c r="D68" s="33" t="n">
        <f aca="false">SUM(F68:H68)</f>
        <v>2047.41</v>
      </c>
      <c r="F68" s="33" t="n">
        <v>2047.41</v>
      </c>
    </row>
    <row r="69" customFormat="false" ht="15" hidden="false" customHeight="false" outlineLevel="0" collapsed="false">
      <c r="B69" s="5" t="s">
        <v>134</v>
      </c>
      <c r="D69" s="33" t="n">
        <f aca="false">SUM(F69:H69)</f>
        <v>5849.75</v>
      </c>
      <c r="F69" s="33" t="n">
        <v>5849.75</v>
      </c>
    </row>
    <row r="70" customFormat="false" ht="15" hidden="false" customHeight="false" outlineLevel="0" collapsed="false">
      <c r="B70" s="5" t="s">
        <v>135</v>
      </c>
      <c r="D70" s="33" t="n">
        <f aca="false">SUM(F70:H70)</f>
        <v>243.74</v>
      </c>
      <c r="F70" s="33" t="n">
        <v>243.74</v>
      </c>
    </row>
    <row r="71" customFormat="false" ht="15" hidden="false" customHeight="false" outlineLevel="0" collapsed="false">
      <c r="B71" s="5" t="s">
        <v>136</v>
      </c>
      <c r="D71" s="33" t="n">
        <f aca="false">SUM(F71:H71)</f>
        <v>9386.83</v>
      </c>
      <c r="F71" s="33" t="n">
        <v>9386.83</v>
      </c>
    </row>
    <row r="72" customFormat="false" ht="15" hidden="false" customHeight="false" outlineLevel="0" collapsed="false">
      <c r="B72" s="5" t="s">
        <v>137</v>
      </c>
      <c r="D72" s="33" t="n">
        <f aca="false">SUM(F72:H72)</f>
        <v>3514.14</v>
      </c>
      <c r="F72" s="33" t="n">
        <v>3514.14</v>
      </c>
    </row>
    <row r="73" customFormat="false" ht="15" hidden="false" customHeight="false" outlineLevel="0" collapsed="false">
      <c r="B73" s="5" t="s">
        <v>138</v>
      </c>
      <c r="D73" s="33" t="n">
        <f aca="false">SUM(F73:H73)</f>
        <v>13466.48</v>
      </c>
      <c r="F73" s="33" t="n">
        <v>13466.48</v>
      </c>
    </row>
    <row r="74" customFormat="false" ht="15" hidden="false" customHeight="false" outlineLevel="0" collapsed="false">
      <c r="B74" s="5" t="s">
        <v>139</v>
      </c>
      <c r="D74" s="33" t="n">
        <f aca="false">SUM(F74:H74)</f>
        <v>947.24</v>
      </c>
      <c r="F74" s="33" t="n">
        <v>947.24</v>
      </c>
    </row>
    <row r="75" customFormat="false" ht="15" hidden="false" customHeight="false" outlineLevel="0" collapsed="false">
      <c r="B75" s="5" t="s">
        <v>140</v>
      </c>
      <c r="D75" s="33" t="n">
        <f aca="false">SUM(F75:H75)</f>
        <v>212.61</v>
      </c>
      <c r="F75" s="33" t="n">
        <v>212.61</v>
      </c>
    </row>
    <row r="76" customFormat="false" ht="15" hidden="false" customHeight="false" outlineLevel="0" collapsed="false">
      <c r="B76" s="5" t="s">
        <v>141</v>
      </c>
      <c r="D76" s="33" t="n">
        <f aca="false">SUM(F76:H76)</f>
        <v>16945.69</v>
      </c>
      <c r="F76" s="33" t="n">
        <v>16945.69</v>
      </c>
    </row>
    <row r="77" customFormat="false" ht="15" hidden="false" customHeight="false" outlineLevel="0" collapsed="false">
      <c r="B77" s="32" t="s">
        <v>142</v>
      </c>
    </row>
    <row r="78" customFormat="false" ht="15" hidden="false" customHeight="false" outlineLevel="0" collapsed="false">
      <c r="B78" s="5" t="s">
        <v>143</v>
      </c>
      <c r="D78" s="33" t="n">
        <f aca="false">SUM(F78:H78)</f>
        <v>22420.11</v>
      </c>
      <c r="H78" s="33" t="n">
        <v>22420.11</v>
      </c>
    </row>
    <row r="79" customFormat="false" ht="15" hidden="false" customHeight="false" outlineLevel="0" collapsed="false">
      <c r="B79" s="5" t="s">
        <v>144</v>
      </c>
      <c r="D79" s="33" t="n">
        <f aca="false">SUM(F79:H79)</f>
        <v>28072.36</v>
      </c>
      <c r="H79" s="33" t="n">
        <v>28072.36</v>
      </c>
    </row>
    <row r="80" customFormat="false" ht="15" hidden="false" customHeight="false" outlineLevel="0" collapsed="false">
      <c r="B80" s="5" t="s">
        <v>145</v>
      </c>
      <c r="D80" s="33" t="n">
        <f aca="false">SUM(F80:H80)</f>
        <v>15630.87</v>
      </c>
      <c r="H80" s="33" t="n">
        <v>15630.87</v>
      </c>
    </row>
    <row r="81" customFormat="false" ht="15" hidden="false" customHeight="false" outlineLevel="0" collapsed="false">
      <c r="B81" s="5" t="s">
        <v>146</v>
      </c>
      <c r="D81" s="33" t="n">
        <f aca="false">SUM(F81:H81)</f>
        <v>33364.56</v>
      </c>
      <c r="H81" s="33" t="n">
        <v>33364.56</v>
      </c>
    </row>
    <row r="82" customFormat="false" ht="15" hidden="false" customHeight="false" outlineLevel="0" collapsed="false">
      <c r="B82" s="5" t="s">
        <v>147</v>
      </c>
      <c r="D82" s="33" t="n">
        <f aca="false">SUM(F82:H82)</f>
        <v>35284.68</v>
      </c>
      <c r="H82" s="33" t="n">
        <v>35284.68</v>
      </c>
    </row>
    <row r="83" customFormat="false" ht="15" hidden="false" customHeight="false" outlineLevel="0" collapsed="false">
      <c r="B83" s="5" t="s">
        <v>148</v>
      </c>
      <c r="D83" s="33" t="n">
        <f aca="false">SUM(F83:H83)</f>
        <v>3313.81</v>
      </c>
      <c r="H83" s="33" t="n">
        <v>3313.81</v>
      </c>
    </row>
    <row r="84" customFormat="false" ht="15" hidden="false" customHeight="false" outlineLevel="0" collapsed="false">
      <c r="B84" s="5" t="s">
        <v>149</v>
      </c>
      <c r="D84" s="33" t="n">
        <f aca="false">SUM(F84:H84)</f>
        <v>16546.13</v>
      </c>
      <c r="H84" s="33" t="n">
        <v>16546.13</v>
      </c>
    </row>
    <row r="85" customFormat="false" ht="15" hidden="false" customHeight="false" outlineLevel="0" collapsed="false">
      <c r="B85" s="5" t="s">
        <v>150</v>
      </c>
      <c r="D85" s="33" t="n">
        <f aca="false">SUM(F85:H85)</f>
        <v>22380.23</v>
      </c>
      <c r="H85" s="33" t="n">
        <v>22380.23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17270.68</v>
      </c>
      <c r="H86" s="33" t="n">
        <v>17270.68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18558.31</v>
      </c>
      <c r="H87" s="33" t="n">
        <v>18558.31</v>
      </c>
    </row>
    <row r="88" customFormat="false" ht="15" hidden="false" customHeight="false" outlineLevel="0" collapsed="false">
      <c r="B88" s="5" t="s">
        <v>153</v>
      </c>
      <c r="D88" s="33" t="n">
        <f aca="false">SUM(F88:H88)</f>
        <v>42251.16</v>
      </c>
      <c r="H88" s="33" t="n">
        <v>42251.16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20566.05</v>
      </c>
      <c r="H89" s="33" t="n">
        <v>20566.05</v>
      </c>
    </row>
    <row r="90" customFormat="false" ht="15" hidden="false" customHeight="false" outlineLevel="0" collapsed="false">
      <c r="B90" s="5" t="s">
        <v>155</v>
      </c>
      <c r="D90" s="33" t="n">
        <f aca="false">SUM(F90:H90)</f>
        <v>2242.07</v>
      </c>
      <c r="H90" s="33" t="n">
        <v>2242.07</v>
      </c>
    </row>
    <row r="91" customFormat="false" ht="15" hidden="false" customHeight="false" outlineLevel="0" collapsed="false">
      <c r="B91" s="5" t="s">
        <v>156</v>
      </c>
      <c r="D91" s="33" t="n">
        <f aca="false">SUM(F91:H91)</f>
        <v>54791.16</v>
      </c>
      <c r="H91" s="33" t="n">
        <v>54791.16</v>
      </c>
    </row>
    <row r="92" customFormat="false" ht="15" hidden="false" customHeight="false" outlineLevel="0" collapsed="false">
      <c r="B92" s="5" t="s">
        <v>157</v>
      </c>
      <c r="D92" s="33" t="n">
        <f aca="false">SUM(F92:H92)</f>
        <v>7945.49</v>
      </c>
      <c r="H92" s="33" t="n">
        <v>7945.49</v>
      </c>
    </row>
    <row r="93" customFormat="false" ht="15" hidden="false" customHeight="false" outlineLevel="0" collapsed="false">
      <c r="B93" s="5" t="s">
        <v>158</v>
      </c>
      <c r="D93" s="33" t="n">
        <f aca="false">SUM(F93:H93)</f>
        <v>6585.61</v>
      </c>
      <c r="H93" s="33" t="n">
        <v>6585.61</v>
      </c>
    </row>
    <row r="94" customFormat="false" ht="15" hidden="false" customHeight="false" outlineLevel="0" collapsed="false">
      <c r="B94" s="5" t="s">
        <v>159</v>
      </c>
      <c r="D94" s="33" t="n">
        <f aca="false">SUM(F94:H94)</f>
        <v>7605.25</v>
      </c>
      <c r="H94" s="33" t="n">
        <v>7605.25</v>
      </c>
    </row>
    <row r="95" customFormat="false" ht="15" hidden="false" customHeight="false" outlineLevel="0" collapsed="false">
      <c r="B95" s="11" t="s">
        <v>123</v>
      </c>
      <c r="D95" s="34" t="n">
        <f aca="false">SUM(D62:D94)</f>
        <v>477465.65</v>
      </c>
      <c r="F95" s="34" t="n">
        <f aca="false">SUM(F62:F94)</f>
        <v>122637.12</v>
      </c>
      <c r="H95" s="34" t="n">
        <f aca="false">SUM(H62:H94)</f>
        <v>354828.53</v>
      </c>
    </row>
    <row r="96" customFormat="false" ht="15" hidden="false" customHeight="false" outlineLevel="0" collapsed="false">
      <c r="B96" s="30" t="s">
        <v>100</v>
      </c>
      <c r="F96" s="31" t="n">
        <f aca="false">F95/D95</f>
        <v>0.256850141994508</v>
      </c>
      <c r="H96" s="31" t="n">
        <f aca="false">H95/D95</f>
        <v>0.743149858005492</v>
      </c>
    </row>
    <row r="98" customFormat="false" ht="15" hidden="false" customHeight="false" outlineLevel="0" collapsed="false">
      <c r="A98" s="10" t="s">
        <v>118</v>
      </c>
    </row>
    <row r="99" customFormat="false" ht="15" hidden="false" customHeight="false" outlineLevel="0" collapsed="false">
      <c r="B99" s="4" t="s">
        <v>119</v>
      </c>
      <c r="D99" s="4" t="s">
        <v>72</v>
      </c>
      <c r="F99" s="4" t="s">
        <v>126</v>
      </c>
      <c r="H99" s="4" t="s">
        <v>105</v>
      </c>
    </row>
    <row r="100" customFormat="false" ht="15" hidden="false" customHeight="false" outlineLevel="0" collapsed="false">
      <c r="B100" s="5" t="str">
        <f aca="false">'Apartments 1-16'!B17</f>
        <v>2 - Building - apt - 5yr</v>
      </c>
      <c r="D100" s="33" t="n">
        <f aca="false">SUM(F100:H100)</f>
        <v>99963.17</v>
      </c>
      <c r="F100" s="33" t="n">
        <f aca="false">'Apartments 1-16'!D17</f>
        <v>99963.17</v>
      </c>
    </row>
    <row r="101" customFormat="false" ht="15" hidden="false" customHeight="false" outlineLevel="0" collapsed="false">
      <c r="B101" s="5" t="str">
        <f aca="false">'Apartments 1-16'!B18</f>
        <v>2 - Building - apt - 27.5yr</v>
      </c>
      <c r="D101" s="33" t="n">
        <f aca="false">SUM(F101:H101)</f>
        <v>289225.5</v>
      </c>
      <c r="H101" s="33" t="n">
        <f aca="false">'Apartments 1-16'!D18</f>
        <v>289225.5</v>
      </c>
    </row>
    <row r="102" customFormat="false" ht="15" hidden="false" customHeight="false" outlineLevel="0" collapsed="false">
      <c r="B102" s="5" t="str">
        <f aca="false">'Apartments 1-16'!B19</f>
        <v>4 - Equipment - apt - 5yr</v>
      </c>
      <c r="D102" s="33" t="n">
        <f aca="false">SUM(F102:H102)</f>
        <v>12403.58</v>
      </c>
      <c r="F102" s="33" t="n">
        <f aca="false">'Apartments 1-16'!D19</f>
        <v>12403.58</v>
      </c>
    </row>
    <row r="103" customFormat="false" ht="15" hidden="false" customHeight="false" outlineLevel="0" collapsed="false">
      <c r="B103" s="5" t="str">
        <f aca="false">'Apartments 1-16'!B20</f>
        <v>4 - Equipment - apt - 27.5yr</v>
      </c>
      <c r="D103" s="33" t="n">
        <f aca="false">SUM(F103:H103)</f>
        <v>35887.54</v>
      </c>
      <c r="H103" s="33" t="n">
        <f aca="false">'Apartments 1-16'!D20</f>
        <v>35887.54</v>
      </c>
    </row>
    <row r="104" customFormat="false" ht="15" hidden="false" customHeight="false" outlineLevel="0" collapsed="false">
      <c r="B104" s="5" t="str">
        <f aca="false">'Apartments 1-16'!B21</f>
        <v>5 - Land Improvements - apt - 5yr</v>
      </c>
      <c r="D104" s="33" t="n">
        <f aca="false">SUM(F104:H104)</f>
        <v>10270.37</v>
      </c>
      <c r="F104" s="33" t="n">
        <f aca="false">'Apartments 1-16'!D21</f>
        <v>10270.37</v>
      </c>
    </row>
    <row r="105" customFormat="false" ht="15" hidden="false" customHeight="false" outlineLevel="0" collapsed="false">
      <c r="B105" s="5" t="str">
        <f aca="false">'Apartments 1-16'!B22</f>
        <v>5 - Land Improvements - apt - 27.5yr</v>
      </c>
      <c r="D105" s="33" t="n">
        <f aca="false">SUM(F105:H105)</f>
        <v>29715.49</v>
      </c>
      <c r="H105" s="33" t="n">
        <f aca="false">'Apartments 1-16'!D22</f>
        <v>29715.49</v>
      </c>
    </row>
    <row r="106" customFormat="false" ht="15" hidden="false" customHeight="false" outlineLevel="0" collapsed="false">
      <c r="B106" s="11" t="s">
        <v>120</v>
      </c>
      <c r="D106" s="34" t="n">
        <f aca="false">SUM(D100:D105)</f>
        <v>477465.65</v>
      </c>
      <c r="F106" s="34" t="n">
        <f aca="false">SUM(F100:F105)</f>
        <v>122637.12</v>
      </c>
      <c r="H106" s="34" t="n">
        <f aca="false">SUM(H100:H105)</f>
        <v>354828.53</v>
      </c>
    </row>
    <row r="107" customFormat="false" ht="15" hidden="false" customHeight="false" outlineLevel="0" collapsed="false">
      <c r="B107" s="16" t="s">
        <v>121</v>
      </c>
      <c r="D107" s="17" t="n">
        <f aca="false">D106-D95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160</v>
      </c>
    </row>
    <row r="5" customFormat="false" ht="15" hidden="false" customHeight="false" outlineLevel="0" collapsed="false">
      <c r="A5" s="16" t="s">
        <v>66</v>
      </c>
    </row>
    <row r="7" customFormat="false" ht="15" hidden="false" customHeight="false" outlineLevel="0" collapsed="false">
      <c r="A7" s="10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79</v>
      </c>
      <c r="L9" s="4" t="s">
        <v>80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15</v>
      </c>
      <c r="D10" s="24" t="n">
        <v>389188.67</v>
      </c>
      <c r="E10" s="24" t="n">
        <v>0</v>
      </c>
      <c r="F10" s="24" t="n">
        <v>0</v>
      </c>
      <c r="G10" s="24" t="n">
        <v>106731.69</v>
      </c>
      <c r="H10" s="24" t="n">
        <v>14152.27</v>
      </c>
      <c r="I10" s="24" t="n">
        <f aca="false">G10+H10</f>
        <v>120883.96</v>
      </c>
      <c r="J10" s="24" t="n">
        <f aca="false">D10-I10</f>
        <v>268304.71</v>
      </c>
      <c r="K10" s="25" t="s">
        <v>81</v>
      </c>
      <c r="L10" s="25" t="s">
        <v>82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15</v>
      </c>
      <c r="D11" s="24" t="n">
        <v>48291.12</v>
      </c>
      <c r="E11" s="24" t="n">
        <v>0</v>
      </c>
      <c r="F11" s="24" t="n">
        <v>0</v>
      </c>
      <c r="G11" s="24" t="n">
        <v>48291.12</v>
      </c>
      <c r="H11" s="24" t="n">
        <v>0</v>
      </c>
      <c r="I11" s="24" t="n">
        <f aca="false">G11+H11</f>
        <v>48291.12</v>
      </c>
      <c r="J11" s="24" t="n">
        <f aca="false">D11-I11</f>
        <v>0</v>
      </c>
      <c r="K11" s="25" t="s">
        <v>83</v>
      </c>
      <c r="L11" s="25" t="s">
        <v>84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15</v>
      </c>
      <c r="D12" s="24" t="n">
        <v>39985.86</v>
      </c>
      <c r="E12" s="24" t="n">
        <v>0</v>
      </c>
      <c r="F12" s="24" t="n">
        <v>0</v>
      </c>
      <c r="G12" s="24" t="n">
        <v>19817.9</v>
      </c>
      <c r="H12" s="24" t="n">
        <v>2361.05</v>
      </c>
      <c r="I12" s="24" t="n">
        <f aca="false">G12+H12</f>
        <v>22178.95</v>
      </c>
      <c r="J12" s="24" t="n">
        <f aca="false">D12-I12</f>
        <v>17806.91</v>
      </c>
      <c r="K12" s="25" t="s">
        <v>85</v>
      </c>
      <c r="L12" s="25" t="s">
        <v>86</v>
      </c>
    </row>
    <row r="13" customFormat="false" ht="15" hidden="false" customHeight="false" outlineLevel="0" collapsed="false">
      <c r="A13" s="26"/>
      <c r="B13" s="27" t="s">
        <v>28</v>
      </c>
      <c r="C13" s="26"/>
      <c r="D13" s="28" t="n">
        <f aca="false">SUM(D10:D12)</f>
        <v>477465.65</v>
      </c>
      <c r="E13" s="28" t="n">
        <f aca="false">SUM(E10:E12)</f>
        <v>0</v>
      </c>
      <c r="F13" s="28" t="n">
        <f aca="false">SUM(F10:F12)</f>
        <v>0</v>
      </c>
      <c r="G13" s="28" t="n">
        <f aca="false">SUM(G10:G12)</f>
        <v>174840.71</v>
      </c>
      <c r="H13" s="28" t="n">
        <f aca="false">SUM(H10:H12)</f>
        <v>16513.32</v>
      </c>
      <c r="I13" s="28" t="n">
        <f aca="false">SUM(I10:I12)</f>
        <v>191354.03</v>
      </c>
      <c r="J13" s="28" t="n">
        <f aca="false">SUM(J10:J12)</f>
        <v>286111.62</v>
      </c>
      <c r="K13" s="26"/>
      <c r="L13" s="26"/>
    </row>
    <row r="15" customFormat="false" ht="15" hidden="false" customHeight="false" outlineLevel="0" collapsed="false">
      <c r="A15" s="21" t="s">
        <v>87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4" t="s">
        <v>75</v>
      </c>
      <c r="H16" s="4" t="s">
        <v>76</v>
      </c>
      <c r="I16" s="4" t="s">
        <v>77</v>
      </c>
      <c r="J16" s="4" t="s">
        <v>78</v>
      </c>
      <c r="K16" s="4" t="s">
        <v>79</v>
      </c>
      <c r="L16" s="4" t="s">
        <v>80</v>
      </c>
    </row>
    <row r="17" customFormat="false" ht="15" hidden="false" customHeight="false" outlineLevel="0" collapsed="false">
      <c r="A17" s="23" t="n">
        <v>1</v>
      </c>
      <c r="B17" s="23" t="s">
        <v>36</v>
      </c>
      <c r="C17" s="23" t="s">
        <v>15</v>
      </c>
      <c r="D17" s="24" t="n">
        <v>99963.17</v>
      </c>
      <c r="E17" s="24" t="n">
        <v>0</v>
      </c>
      <c r="F17" s="24" t="n">
        <v>0</v>
      </c>
      <c r="G17" s="24" t="n">
        <v>99963.17</v>
      </c>
      <c r="H17" s="24" t="n">
        <v>0</v>
      </c>
      <c r="I17" s="24" t="n">
        <f aca="false">G17+H17</f>
        <v>99963.17</v>
      </c>
      <c r="J17" s="24" t="n">
        <f aca="false">D17-I17</f>
        <v>0</v>
      </c>
      <c r="K17" s="25" t="s">
        <v>83</v>
      </c>
      <c r="L17" s="25" t="s">
        <v>84</v>
      </c>
    </row>
    <row r="18" customFormat="false" ht="15" hidden="false" customHeight="false" outlineLevel="0" collapsed="false">
      <c r="A18" s="23" t="n">
        <v>2</v>
      </c>
      <c r="B18" s="23" t="s">
        <v>37</v>
      </c>
      <c r="C18" s="23" t="s">
        <v>15</v>
      </c>
      <c r="D18" s="24" t="n">
        <v>289225.5</v>
      </c>
      <c r="E18" s="24" t="n">
        <v>0</v>
      </c>
      <c r="F18" s="24" t="n">
        <v>0</v>
      </c>
      <c r="G18" s="24" t="n">
        <v>106742.11</v>
      </c>
      <c r="H18" s="24" t="n">
        <v>10517.29</v>
      </c>
      <c r="I18" s="24" t="n">
        <f aca="false">G18+H18</f>
        <v>117259.4</v>
      </c>
      <c r="J18" s="24" t="n">
        <f aca="false">D18-I18</f>
        <v>171966.1</v>
      </c>
      <c r="K18" s="25" t="s">
        <v>81</v>
      </c>
      <c r="L18" s="25" t="s">
        <v>82</v>
      </c>
    </row>
    <row r="19" customFormat="false" ht="15" hidden="false" customHeight="false" outlineLevel="0" collapsed="false">
      <c r="A19" s="23" t="n">
        <v>3</v>
      </c>
      <c r="B19" s="23" t="s">
        <v>38</v>
      </c>
      <c r="C19" s="23" t="s">
        <v>15</v>
      </c>
      <c r="D19" s="24" t="n">
        <v>12403.58</v>
      </c>
      <c r="E19" s="24" t="n">
        <v>0</v>
      </c>
      <c r="F19" s="24" t="n">
        <v>0</v>
      </c>
      <c r="G19" s="24" t="n">
        <v>12403.58</v>
      </c>
      <c r="H19" s="24" t="n">
        <v>0</v>
      </c>
      <c r="I19" s="24" t="n">
        <f aca="false">G19+H19</f>
        <v>12403.58</v>
      </c>
      <c r="J19" s="24" t="n">
        <f aca="false">D19-I19</f>
        <v>0</v>
      </c>
      <c r="K19" s="25" t="s">
        <v>83</v>
      </c>
      <c r="L19" s="25" t="s">
        <v>84</v>
      </c>
    </row>
    <row r="20" customFormat="false" ht="15" hidden="false" customHeight="false" outlineLevel="0" collapsed="false">
      <c r="A20" s="23" t="n">
        <v>4</v>
      </c>
      <c r="B20" s="23" t="s">
        <v>39</v>
      </c>
      <c r="C20" s="23" t="s">
        <v>15</v>
      </c>
      <c r="D20" s="24" t="n">
        <v>35887.54</v>
      </c>
      <c r="E20" s="24" t="n">
        <v>0</v>
      </c>
      <c r="F20" s="24" t="n">
        <v>0</v>
      </c>
      <c r="G20" s="24" t="n">
        <v>9841.88</v>
      </c>
      <c r="H20" s="24" t="n">
        <v>1305</v>
      </c>
      <c r="I20" s="24" t="n">
        <f aca="false">G20+H20</f>
        <v>11146.88</v>
      </c>
      <c r="J20" s="24" t="n">
        <f aca="false">D20-I20</f>
        <v>24740.66</v>
      </c>
      <c r="K20" s="25" t="s">
        <v>81</v>
      </c>
      <c r="L20" s="25" t="s">
        <v>82</v>
      </c>
    </row>
    <row r="21" customFormat="false" ht="15" hidden="false" customHeight="false" outlineLevel="0" collapsed="false">
      <c r="A21" s="23" t="n">
        <v>5</v>
      </c>
      <c r="B21" s="23" t="s">
        <v>40</v>
      </c>
      <c r="C21" s="23" t="s">
        <v>15</v>
      </c>
      <c r="D21" s="24" t="n">
        <v>10270.37</v>
      </c>
      <c r="E21" s="24" t="n">
        <v>0</v>
      </c>
      <c r="F21" s="24" t="n">
        <v>0</v>
      </c>
      <c r="G21" s="24" t="n">
        <v>10270.37</v>
      </c>
      <c r="H21" s="24" t="n">
        <v>0</v>
      </c>
      <c r="I21" s="24" t="n">
        <f aca="false">G21+H21</f>
        <v>10270.37</v>
      </c>
      <c r="J21" s="24" t="n">
        <f aca="false">D21-I21</f>
        <v>0</v>
      </c>
      <c r="K21" s="25" t="s">
        <v>83</v>
      </c>
      <c r="L21" s="25" t="s">
        <v>84</v>
      </c>
    </row>
    <row r="22" customFormat="false" ht="15" hidden="false" customHeight="false" outlineLevel="0" collapsed="false">
      <c r="A22" s="23" t="n">
        <v>6</v>
      </c>
      <c r="B22" s="23" t="s">
        <v>41</v>
      </c>
      <c r="C22" s="23" t="s">
        <v>15</v>
      </c>
      <c r="D22" s="24" t="n">
        <v>29715.49</v>
      </c>
      <c r="E22" s="24" t="n">
        <v>0</v>
      </c>
      <c r="F22" s="24" t="n">
        <v>0</v>
      </c>
      <c r="G22" s="24" t="n">
        <v>8149.23</v>
      </c>
      <c r="H22" s="24" t="n">
        <v>1080.56</v>
      </c>
      <c r="I22" s="24" t="n">
        <f aca="false">G22+H22</f>
        <v>9229.79</v>
      </c>
      <c r="J22" s="24" t="n">
        <f aca="false">D22-I22</f>
        <v>20485.7</v>
      </c>
      <c r="K22" s="25" t="s">
        <v>81</v>
      </c>
      <c r="L22" s="25" t="s">
        <v>82</v>
      </c>
    </row>
    <row r="23" customFormat="false" ht="15" hidden="false" customHeight="false" outlineLevel="0" collapsed="false">
      <c r="A23" s="26"/>
      <c r="B23" s="27" t="s">
        <v>28</v>
      </c>
      <c r="C23" s="26"/>
      <c r="D23" s="28" t="n">
        <f aca="false">SUM(D17:D22)</f>
        <v>477465.65</v>
      </c>
      <c r="E23" s="28" t="n">
        <f aca="false">SUM(E17:E22)</f>
        <v>0</v>
      </c>
      <c r="F23" s="28" t="n">
        <f aca="false">SUM(F17:F22)</f>
        <v>0</v>
      </c>
      <c r="G23" s="28" t="n">
        <f aca="false">SUM(G17:G22)</f>
        <v>247370.34</v>
      </c>
      <c r="H23" s="28" t="n">
        <f aca="false">SUM(H17:H22)</f>
        <v>12902.85</v>
      </c>
      <c r="I23" s="28" t="n">
        <f aca="false">SUM(I17:I22)</f>
        <v>260273.19</v>
      </c>
      <c r="J23" s="28" t="n">
        <f aca="false">SUM(J17:J22)</f>
        <v>217192.46</v>
      </c>
      <c r="K23" s="26"/>
      <c r="L23" s="26"/>
    </row>
    <row r="25" customFormat="false" ht="15" hidden="false" customHeight="false" outlineLevel="0" collapsed="false">
      <c r="B25" s="18" t="s">
        <v>88</v>
      </c>
    </row>
    <row r="26" customFormat="false" ht="15" hidden="false" customHeight="false" outlineLevel="0" collapsed="false">
      <c r="B26" s="5" t="s">
        <v>89</v>
      </c>
      <c r="D26" s="6" t="n">
        <f aca="false">I13</f>
        <v>191354.03</v>
      </c>
    </row>
    <row r="27" customFormat="false" ht="15" hidden="false" customHeight="false" outlineLevel="0" collapsed="false">
      <c r="B27" s="5" t="s">
        <v>90</v>
      </c>
      <c r="D27" s="6" t="n">
        <f aca="false">I23</f>
        <v>260273.19</v>
      </c>
    </row>
    <row r="28" customFormat="false" ht="15" hidden="false" customHeight="false" outlineLevel="0" collapsed="false">
      <c r="B28" s="11" t="s">
        <v>88</v>
      </c>
      <c r="D28" s="29" t="n">
        <f aca="false">D26-D27</f>
        <v>-68919.16</v>
      </c>
    </row>
    <row r="30" customFormat="false" ht="15" hidden="false" customHeight="false" outlineLevel="0" collapsed="false">
      <c r="A30" s="10" t="s">
        <v>91</v>
      </c>
    </row>
    <row r="31" customFormat="false" ht="15" hidden="false" customHeight="false" outlineLevel="0" collapsed="false">
      <c r="A31" s="21" t="s">
        <v>92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69</v>
      </c>
      <c r="B32" s="4" t="s">
        <v>70</v>
      </c>
      <c r="C32" s="4" t="s">
        <v>71</v>
      </c>
      <c r="D32" s="4" t="s">
        <v>72</v>
      </c>
      <c r="E32" s="4" t="s">
        <v>73</v>
      </c>
      <c r="F32" s="4" t="s">
        <v>74</v>
      </c>
      <c r="G32" s="4" t="s">
        <v>93</v>
      </c>
      <c r="H32" s="4" t="s">
        <v>94</v>
      </c>
      <c r="I32" s="4" t="s">
        <v>77</v>
      </c>
      <c r="J32" s="4" t="s">
        <v>78</v>
      </c>
      <c r="K32" s="4" t="s">
        <v>79</v>
      </c>
      <c r="L32" s="4" t="s">
        <v>80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15</v>
      </c>
      <c r="D33" s="24" t="n">
        <v>389188.67</v>
      </c>
      <c r="E33" s="24" t="n">
        <v>0</v>
      </c>
      <c r="F33" s="24" t="n">
        <v>0</v>
      </c>
      <c r="G33" s="24" t="n">
        <v>106731.69</v>
      </c>
      <c r="H33" s="24" t="n">
        <v>14152.27</v>
      </c>
      <c r="I33" s="24" t="n">
        <f aca="false">G33+H33</f>
        <v>120883.96</v>
      </c>
      <c r="J33" s="24" t="n">
        <f aca="false">D33-I33</f>
        <v>268304.71</v>
      </c>
      <c r="K33" s="25" t="s">
        <v>81</v>
      </c>
      <c r="L33" s="25" t="s">
        <v>82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15</v>
      </c>
      <c r="D34" s="24" t="n">
        <v>48291.12</v>
      </c>
      <c r="E34" s="24" t="n">
        <v>0</v>
      </c>
      <c r="F34" s="24" t="n">
        <v>0</v>
      </c>
      <c r="G34" s="24" t="n">
        <v>48291.12</v>
      </c>
      <c r="H34" s="24" t="n">
        <v>0</v>
      </c>
      <c r="I34" s="24" t="n">
        <f aca="false">G34+H34</f>
        <v>48291.12</v>
      </c>
      <c r="J34" s="24" t="n">
        <f aca="false">D34-I34</f>
        <v>0</v>
      </c>
      <c r="K34" s="25" t="s">
        <v>83</v>
      </c>
      <c r="L34" s="25" t="s">
        <v>84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15</v>
      </c>
      <c r="D35" s="24" t="n">
        <v>39985.86</v>
      </c>
      <c r="E35" s="24" t="n">
        <v>0</v>
      </c>
      <c r="F35" s="24" t="n">
        <v>0</v>
      </c>
      <c r="G35" s="24" t="n">
        <v>19817.9</v>
      </c>
      <c r="H35" s="24" t="n">
        <v>2361.05</v>
      </c>
      <c r="I35" s="24" t="n">
        <f aca="false">G35+H35</f>
        <v>22178.95</v>
      </c>
      <c r="J35" s="24" t="n">
        <f aca="false">D35-I35</f>
        <v>17806.91</v>
      </c>
      <c r="K35" s="25" t="s">
        <v>85</v>
      </c>
      <c r="L35" s="25" t="s">
        <v>86</v>
      </c>
    </row>
    <row r="36" customFormat="false" ht="15" hidden="false" customHeight="false" outlineLevel="0" collapsed="false">
      <c r="A36" s="26"/>
      <c r="B36" s="27" t="s">
        <v>28</v>
      </c>
      <c r="C36" s="26"/>
      <c r="D36" s="28" t="n">
        <f aca="false">SUM(D33:D35)</f>
        <v>477465.65</v>
      </c>
      <c r="E36" s="28" t="n">
        <f aca="false">SUM(E33:E35)</f>
        <v>0</v>
      </c>
      <c r="F36" s="28" t="n">
        <f aca="false">SUM(F33:F35)</f>
        <v>0</v>
      </c>
      <c r="G36" s="28" t="n">
        <f aca="false">SUM(G33:G35)</f>
        <v>174840.71</v>
      </c>
      <c r="H36" s="28" t="n">
        <f aca="false">SUM(H33:H35)</f>
        <v>16513.32</v>
      </c>
      <c r="I36" s="28" t="n">
        <f aca="false">SUM(I33:I35)</f>
        <v>191354.03</v>
      </c>
      <c r="J36" s="28" t="n">
        <f aca="false">SUM(J33:J35)</f>
        <v>286111.62</v>
      </c>
      <c r="K36" s="26"/>
      <c r="L36" s="26"/>
    </row>
    <row r="38" customFormat="false" ht="15" hidden="false" customHeight="false" outlineLevel="0" collapsed="false">
      <c r="A38" s="21" t="s">
        <v>95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69</v>
      </c>
      <c r="B39" s="4" t="s">
        <v>70</v>
      </c>
      <c r="C39" s="4" t="s">
        <v>71</v>
      </c>
      <c r="D39" s="4" t="s">
        <v>72</v>
      </c>
      <c r="E39" s="4" t="s">
        <v>73</v>
      </c>
      <c r="F39" s="4" t="s">
        <v>74</v>
      </c>
      <c r="G39" s="4" t="s">
        <v>93</v>
      </c>
      <c r="H39" s="4" t="s">
        <v>94</v>
      </c>
      <c r="I39" s="4" t="s">
        <v>77</v>
      </c>
      <c r="J39" s="4" t="s">
        <v>78</v>
      </c>
      <c r="K39" s="4" t="s">
        <v>79</v>
      </c>
      <c r="L39" s="4" t="s">
        <v>80</v>
      </c>
    </row>
    <row r="40" customFormat="false" ht="15" hidden="false" customHeight="false" outlineLevel="0" collapsed="false">
      <c r="A40" s="23" t="n">
        <v>1</v>
      </c>
      <c r="B40" s="23" t="s">
        <v>36</v>
      </c>
      <c r="C40" s="23" t="s">
        <v>15</v>
      </c>
      <c r="D40" s="24" t="n">
        <v>99963.17</v>
      </c>
      <c r="E40" s="24" t="n">
        <v>0</v>
      </c>
      <c r="F40" s="24" t="n">
        <v>0</v>
      </c>
      <c r="G40" s="24" t="n">
        <v>99963.17</v>
      </c>
      <c r="H40" s="24" t="n">
        <v>0</v>
      </c>
      <c r="I40" s="24" t="n">
        <f aca="false">G40+H40</f>
        <v>99963.17</v>
      </c>
      <c r="J40" s="24" t="n">
        <f aca="false">D40-I40</f>
        <v>0</v>
      </c>
      <c r="K40" s="25" t="s">
        <v>83</v>
      </c>
      <c r="L40" s="25" t="s">
        <v>84</v>
      </c>
    </row>
    <row r="41" customFormat="false" ht="15" hidden="false" customHeight="false" outlineLevel="0" collapsed="false">
      <c r="A41" s="23" t="n">
        <v>2</v>
      </c>
      <c r="B41" s="23" t="s">
        <v>37</v>
      </c>
      <c r="C41" s="23" t="s">
        <v>15</v>
      </c>
      <c r="D41" s="24" t="n">
        <v>289225.5</v>
      </c>
      <c r="E41" s="24" t="n">
        <v>0</v>
      </c>
      <c r="F41" s="24" t="n">
        <v>0</v>
      </c>
      <c r="G41" s="24" t="n">
        <v>106742.11</v>
      </c>
      <c r="H41" s="24" t="n">
        <v>10517.29</v>
      </c>
      <c r="I41" s="24" t="n">
        <f aca="false">G41+H41</f>
        <v>117259.4</v>
      </c>
      <c r="J41" s="24" t="n">
        <f aca="false">D41-I41</f>
        <v>171966.1</v>
      </c>
      <c r="K41" s="25" t="s">
        <v>81</v>
      </c>
      <c r="L41" s="25" t="s">
        <v>82</v>
      </c>
    </row>
    <row r="42" customFormat="false" ht="15" hidden="false" customHeight="false" outlineLevel="0" collapsed="false">
      <c r="A42" s="23" t="n">
        <v>3</v>
      </c>
      <c r="B42" s="23" t="s">
        <v>38</v>
      </c>
      <c r="C42" s="23" t="s">
        <v>15</v>
      </c>
      <c r="D42" s="24" t="n">
        <v>12403.58</v>
      </c>
      <c r="E42" s="24" t="n">
        <v>0</v>
      </c>
      <c r="F42" s="24" t="n">
        <v>0</v>
      </c>
      <c r="G42" s="24" t="n">
        <v>12403.58</v>
      </c>
      <c r="H42" s="24" t="n">
        <v>0</v>
      </c>
      <c r="I42" s="24" t="n">
        <f aca="false">G42+H42</f>
        <v>12403.58</v>
      </c>
      <c r="J42" s="24" t="n">
        <f aca="false">D42-I42</f>
        <v>0</v>
      </c>
      <c r="K42" s="25" t="s">
        <v>83</v>
      </c>
      <c r="L42" s="25" t="s">
        <v>84</v>
      </c>
    </row>
    <row r="43" customFormat="false" ht="15" hidden="false" customHeight="false" outlineLevel="0" collapsed="false">
      <c r="A43" s="23" t="n">
        <v>4</v>
      </c>
      <c r="B43" s="23" t="s">
        <v>39</v>
      </c>
      <c r="C43" s="23" t="s">
        <v>15</v>
      </c>
      <c r="D43" s="24" t="n">
        <v>35887.54</v>
      </c>
      <c r="E43" s="24" t="n">
        <v>0</v>
      </c>
      <c r="F43" s="24" t="n">
        <v>0</v>
      </c>
      <c r="G43" s="24" t="n">
        <v>9841.88</v>
      </c>
      <c r="H43" s="24" t="n">
        <v>1305</v>
      </c>
      <c r="I43" s="24" t="n">
        <f aca="false">G43+H43</f>
        <v>11146.88</v>
      </c>
      <c r="J43" s="24" t="n">
        <f aca="false">D43-I43</f>
        <v>24740.66</v>
      </c>
      <c r="K43" s="25" t="s">
        <v>81</v>
      </c>
      <c r="L43" s="25" t="s">
        <v>82</v>
      </c>
    </row>
    <row r="44" customFormat="false" ht="15" hidden="false" customHeight="false" outlineLevel="0" collapsed="false">
      <c r="A44" s="23" t="n">
        <v>5</v>
      </c>
      <c r="B44" s="23" t="s">
        <v>40</v>
      </c>
      <c r="C44" s="23" t="s">
        <v>15</v>
      </c>
      <c r="D44" s="24" t="n">
        <v>10270.37</v>
      </c>
      <c r="E44" s="24" t="n">
        <v>0</v>
      </c>
      <c r="F44" s="24" t="n">
        <v>0</v>
      </c>
      <c r="G44" s="24" t="n">
        <v>10270.37</v>
      </c>
      <c r="H44" s="24" t="n">
        <v>0</v>
      </c>
      <c r="I44" s="24" t="n">
        <f aca="false">G44+H44</f>
        <v>10270.37</v>
      </c>
      <c r="J44" s="24" t="n">
        <f aca="false">D44-I44</f>
        <v>0</v>
      </c>
      <c r="K44" s="25" t="s">
        <v>83</v>
      </c>
      <c r="L44" s="25" t="s">
        <v>84</v>
      </c>
    </row>
    <row r="45" customFormat="false" ht="15" hidden="false" customHeight="false" outlineLevel="0" collapsed="false">
      <c r="A45" s="23" t="n">
        <v>6</v>
      </c>
      <c r="B45" s="23" t="s">
        <v>41</v>
      </c>
      <c r="C45" s="23" t="s">
        <v>15</v>
      </c>
      <c r="D45" s="24" t="n">
        <v>29715.49</v>
      </c>
      <c r="E45" s="24" t="n">
        <v>0</v>
      </c>
      <c r="F45" s="24" t="n">
        <v>0</v>
      </c>
      <c r="G45" s="24" t="n">
        <v>8149.23</v>
      </c>
      <c r="H45" s="24" t="n">
        <v>1080.56</v>
      </c>
      <c r="I45" s="24" t="n">
        <f aca="false">G45+H45</f>
        <v>9229.79</v>
      </c>
      <c r="J45" s="24" t="n">
        <f aca="false">D45-I45</f>
        <v>20485.7</v>
      </c>
      <c r="K45" s="25" t="s">
        <v>81</v>
      </c>
      <c r="L45" s="25" t="s">
        <v>82</v>
      </c>
    </row>
    <row r="46" customFormat="false" ht="15" hidden="false" customHeight="false" outlineLevel="0" collapsed="false">
      <c r="A46" s="26"/>
      <c r="B46" s="27" t="s">
        <v>28</v>
      </c>
      <c r="C46" s="26"/>
      <c r="D46" s="28" t="n">
        <f aca="false">SUM(D40:D45)</f>
        <v>477465.65</v>
      </c>
      <c r="E46" s="28" t="n">
        <f aca="false">SUM(E40:E45)</f>
        <v>0</v>
      </c>
      <c r="F46" s="28" t="n">
        <f aca="false">SUM(F40:F45)</f>
        <v>0</v>
      </c>
      <c r="G46" s="28" t="n">
        <f aca="false">SUM(G40:G45)</f>
        <v>247370.34</v>
      </c>
      <c r="H46" s="28" t="n">
        <f aca="false">SUM(H40:H45)</f>
        <v>12902.85</v>
      </c>
      <c r="I46" s="28" t="n">
        <f aca="false">SUM(I40:I45)</f>
        <v>260273.19</v>
      </c>
      <c r="J46" s="28" t="n">
        <f aca="false">SUM(J40:J45)</f>
        <v>217192.46</v>
      </c>
      <c r="K46" s="26"/>
      <c r="L46" s="26"/>
    </row>
    <row r="48" customFormat="false" ht="15" hidden="false" customHeight="false" outlineLevel="0" collapsed="false">
      <c r="B48" s="18" t="s">
        <v>96</v>
      </c>
    </row>
    <row r="49" customFormat="false" ht="15" hidden="false" customHeight="false" outlineLevel="0" collapsed="false">
      <c r="B49" s="5" t="s">
        <v>89</v>
      </c>
      <c r="D49" s="6" t="n">
        <f aca="false">I36</f>
        <v>191354.03</v>
      </c>
    </row>
    <row r="50" customFormat="false" ht="15" hidden="false" customHeight="false" outlineLevel="0" collapsed="false">
      <c r="B50" s="5" t="s">
        <v>90</v>
      </c>
      <c r="D50" s="6" t="n">
        <f aca="false">I46</f>
        <v>260273.19</v>
      </c>
    </row>
    <row r="51" customFormat="false" ht="15" hidden="false" customHeight="false" outlineLevel="0" collapsed="false">
      <c r="B51" s="11" t="s">
        <v>96</v>
      </c>
      <c r="D51" s="29" t="n">
        <f aca="false">D49-D50</f>
        <v>-68919.16</v>
      </c>
    </row>
    <row r="53" customFormat="false" ht="15" hidden="false" customHeight="false" outlineLevel="0" collapsed="false">
      <c r="A53" s="10" t="s">
        <v>97</v>
      </c>
    </row>
    <row r="54" customFormat="false" ht="15" hidden="false" customHeight="false" outlineLevel="0" collapsed="false">
      <c r="B54" s="11" t="s">
        <v>123</v>
      </c>
      <c r="D54" s="12" t="n">
        <f aca="false">D95</f>
        <v>477465.65</v>
      </c>
    </row>
    <row r="55" customFormat="false" ht="15" hidden="false" customHeight="false" outlineLevel="0" collapsed="false">
      <c r="B55" s="5" t="s">
        <v>124</v>
      </c>
      <c r="D55" s="6" t="n">
        <f aca="false">F95</f>
        <v>122637.12</v>
      </c>
    </row>
    <row r="56" customFormat="false" ht="15" hidden="false" customHeight="false" outlineLevel="0" collapsed="false">
      <c r="B56" s="30" t="s">
        <v>100</v>
      </c>
      <c r="D56" s="31" t="n">
        <f aca="false">F96</f>
        <v>0.256850141994508</v>
      </c>
    </row>
    <row r="57" customFormat="false" ht="15" hidden="false" customHeight="false" outlineLevel="0" collapsed="false">
      <c r="B57" s="5" t="s">
        <v>125</v>
      </c>
      <c r="D57" s="6" t="n">
        <f aca="false">H95</f>
        <v>354828.53</v>
      </c>
    </row>
    <row r="58" customFormat="false" ht="15" hidden="false" customHeight="false" outlineLevel="0" collapsed="false">
      <c r="B58" s="30" t="s">
        <v>100</v>
      </c>
      <c r="D58" s="31" t="n">
        <f aca="false">H96</f>
        <v>0.743149858005492</v>
      </c>
    </row>
    <row r="60" customFormat="false" ht="15" hidden="false" customHeight="false" outlineLevel="0" collapsed="false">
      <c r="A60" s="10" t="s">
        <v>102</v>
      </c>
    </row>
    <row r="61" customFormat="false" ht="15" hidden="false" customHeight="false" outlineLevel="0" collapsed="false">
      <c r="B61" s="4" t="s">
        <v>103</v>
      </c>
      <c r="D61" s="4" t="s">
        <v>72</v>
      </c>
      <c r="F61" s="4" t="s">
        <v>126</v>
      </c>
      <c r="H61" s="4" t="s">
        <v>105</v>
      </c>
    </row>
    <row r="62" customFormat="false" ht="15" hidden="false" customHeight="false" outlineLevel="0" collapsed="false">
      <c r="B62" s="32" t="s">
        <v>127</v>
      </c>
    </row>
    <row r="63" customFormat="false" ht="15" hidden="false" customHeight="false" outlineLevel="0" collapsed="false">
      <c r="B63" s="5" t="s">
        <v>128</v>
      </c>
      <c r="D63" s="33" t="n">
        <f aca="false">SUM(F63:H63)</f>
        <v>28387.8</v>
      </c>
      <c r="F63" s="33" t="n">
        <v>28387.8</v>
      </c>
    </row>
    <row r="64" customFormat="false" ht="15" hidden="false" customHeight="false" outlineLevel="0" collapsed="false">
      <c r="B64" s="5" t="s">
        <v>129</v>
      </c>
      <c r="D64" s="33" t="n">
        <f aca="false">SUM(F64:H64)</f>
        <v>5287.63</v>
      </c>
      <c r="F64" s="33" t="n">
        <v>5287.63</v>
      </c>
    </row>
    <row r="65" customFormat="false" ht="15" hidden="false" customHeight="false" outlineLevel="0" collapsed="false">
      <c r="B65" s="5" t="s">
        <v>130</v>
      </c>
      <c r="D65" s="33" t="n">
        <f aca="false">SUM(F65:H65)</f>
        <v>1395.33</v>
      </c>
      <c r="F65" s="33" t="n">
        <v>1395.33</v>
      </c>
    </row>
    <row r="66" customFormat="false" ht="15" hidden="false" customHeight="false" outlineLevel="0" collapsed="false">
      <c r="B66" s="5" t="s">
        <v>131</v>
      </c>
      <c r="D66" s="33" t="n">
        <f aca="false">SUM(F66:H66)</f>
        <v>9950.29</v>
      </c>
      <c r="F66" s="33" t="n">
        <v>9950.29</v>
      </c>
    </row>
    <row r="67" customFormat="false" ht="15" hidden="false" customHeight="false" outlineLevel="0" collapsed="false">
      <c r="B67" s="5" t="s">
        <v>132</v>
      </c>
      <c r="D67" s="33" t="n">
        <f aca="false">SUM(F67:H67)</f>
        <v>25002.18</v>
      </c>
      <c r="F67" s="33" t="n">
        <v>25002.18</v>
      </c>
    </row>
    <row r="68" customFormat="false" ht="15" hidden="false" customHeight="false" outlineLevel="0" collapsed="false">
      <c r="B68" s="5" t="s">
        <v>133</v>
      </c>
      <c r="D68" s="33" t="n">
        <f aca="false">SUM(F68:H68)</f>
        <v>2047.41</v>
      </c>
      <c r="F68" s="33" t="n">
        <v>2047.41</v>
      </c>
    </row>
    <row r="69" customFormat="false" ht="15" hidden="false" customHeight="false" outlineLevel="0" collapsed="false">
      <c r="B69" s="5" t="s">
        <v>134</v>
      </c>
      <c r="D69" s="33" t="n">
        <f aca="false">SUM(F69:H69)</f>
        <v>5849.75</v>
      </c>
      <c r="F69" s="33" t="n">
        <v>5849.75</v>
      </c>
    </row>
    <row r="70" customFormat="false" ht="15" hidden="false" customHeight="false" outlineLevel="0" collapsed="false">
      <c r="B70" s="5" t="s">
        <v>135</v>
      </c>
      <c r="D70" s="33" t="n">
        <f aca="false">SUM(F70:H70)</f>
        <v>243.74</v>
      </c>
      <c r="F70" s="33" t="n">
        <v>243.74</v>
      </c>
    </row>
    <row r="71" customFormat="false" ht="15" hidden="false" customHeight="false" outlineLevel="0" collapsed="false">
      <c r="B71" s="5" t="s">
        <v>136</v>
      </c>
      <c r="D71" s="33" t="n">
        <f aca="false">SUM(F71:H71)</f>
        <v>9386.83</v>
      </c>
      <c r="F71" s="33" t="n">
        <v>9386.83</v>
      </c>
    </row>
    <row r="72" customFormat="false" ht="15" hidden="false" customHeight="false" outlineLevel="0" collapsed="false">
      <c r="B72" s="5" t="s">
        <v>137</v>
      </c>
      <c r="D72" s="33" t="n">
        <f aca="false">SUM(F72:H72)</f>
        <v>3514.14</v>
      </c>
      <c r="F72" s="33" t="n">
        <v>3514.14</v>
      </c>
    </row>
    <row r="73" customFormat="false" ht="15" hidden="false" customHeight="false" outlineLevel="0" collapsed="false">
      <c r="B73" s="5" t="s">
        <v>138</v>
      </c>
      <c r="D73" s="33" t="n">
        <f aca="false">SUM(F73:H73)</f>
        <v>13466.48</v>
      </c>
      <c r="F73" s="33" t="n">
        <v>13466.48</v>
      </c>
    </row>
    <row r="74" customFormat="false" ht="15" hidden="false" customHeight="false" outlineLevel="0" collapsed="false">
      <c r="B74" s="5" t="s">
        <v>139</v>
      </c>
      <c r="D74" s="33" t="n">
        <f aca="false">SUM(F74:H74)</f>
        <v>947.24</v>
      </c>
      <c r="F74" s="33" t="n">
        <v>947.24</v>
      </c>
    </row>
    <row r="75" customFormat="false" ht="15" hidden="false" customHeight="false" outlineLevel="0" collapsed="false">
      <c r="B75" s="5" t="s">
        <v>140</v>
      </c>
      <c r="D75" s="33" t="n">
        <f aca="false">SUM(F75:H75)</f>
        <v>212.61</v>
      </c>
      <c r="F75" s="33" t="n">
        <v>212.61</v>
      </c>
    </row>
    <row r="76" customFormat="false" ht="15" hidden="false" customHeight="false" outlineLevel="0" collapsed="false">
      <c r="B76" s="5" t="s">
        <v>141</v>
      </c>
      <c r="D76" s="33" t="n">
        <f aca="false">SUM(F76:H76)</f>
        <v>16945.69</v>
      </c>
      <c r="F76" s="33" t="n">
        <v>16945.69</v>
      </c>
    </row>
    <row r="77" customFormat="false" ht="15" hidden="false" customHeight="false" outlineLevel="0" collapsed="false">
      <c r="B77" s="32" t="s">
        <v>142</v>
      </c>
    </row>
    <row r="78" customFormat="false" ht="15" hidden="false" customHeight="false" outlineLevel="0" collapsed="false">
      <c r="B78" s="5" t="s">
        <v>143</v>
      </c>
      <c r="D78" s="33" t="n">
        <f aca="false">SUM(F78:H78)</f>
        <v>22420.11</v>
      </c>
      <c r="H78" s="33" t="n">
        <v>22420.11</v>
      </c>
    </row>
    <row r="79" customFormat="false" ht="15" hidden="false" customHeight="false" outlineLevel="0" collapsed="false">
      <c r="B79" s="5" t="s">
        <v>144</v>
      </c>
      <c r="D79" s="33" t="n">
        <f aca="false">SUM(F79:H79)</f>
        <v>28072.36</v>
      </c>
      <c r="H79" s="33" t="n">
        <v>28072.36</v>
      </c>
    </row>
    <row r="80" customFormat="false" ht="15" hidden="false" customHeight="false" outlineLevel="0" collapsed="false">
      <c r="B80" s="5" t="s">
        <v>145</v>
      </c>
      <c r="D80" s="33" t="n">
        <f aca="false">SUM(F80:H80)</f>
        <v>15630.87</v>
      </c>
      <c r="H80" s="33" t="n">
        <v>15630.87</v>
      </c>
    </row>
    <row r="81" customFormat="false" ht="15" hidden="false" customHeight="false" outlineLevel="0" collapsed="false">
      <c r="B81" s="5" t="s">
        <v>146</v>
      </c>
      <c r="D81" s="33" t="n">
        <f aca="false">SUM(F81:H81)</f>
        <v>33364.56</v>
      </c>
      <c r="H81" s="33" t="n">
        <v>33364.56</v>
      </c>
    </row>
    <row r="82" customFormat="false" ht="15" hidden="false" customHeight="false" outlineLevel="0" collapsed="false">
      <c r="B82" s="5" t="s">
        <v>147</v>
      </c>
      <c r="D82" s="33" t="n">
        <f aca="false">SUM(F82:H82)</f>
        <v>35284.68</v>
      </c>
      <c r="H82" s="33" t="n">
        <v>35284.68</v>
      </c>
    </row>
    <row r="83" customFormat="false" ht="15" hidden="false" customHeight="false" outlineLevel="0" collapsed="false">
      <c r="B83" s="5" t="s">
        <v>148</v>
      </c>
      <c r="D83" s="33" t="n">
        <f aca="false">SUM(F83:H83)</f>
        <v>3313.81</v>
      </c>
      <c r="H83" s="33" t="n">
        <v>3313.81</v>
      </c>
    </row>
    <row r="84" customFormat="false" ht="15" hidden="false" customHeight="false" outlineLevel="0" collapsed="false">
      <c r="B84" s="5" t="s">
        <v>149</v>
      </c>
      <c r="D84" s="33" t="n">
        <f aca="false">SUM(F84:H84)</f>
        <v>16546.13</v>
      </c>
      <c r="H84" s="33" t="n">
        <v>16546.13</v>
      </c>
    </row>
    <row r="85" customFormat="false" ht="15" hidden="false" customHeight="false" outlineLevel="0" collapsed="false">
      <c r="B85" s="5" t="s">
        <v>150</v>
      </c>
      <c r="D85" s="33" t="n">
        <f aca="false">SUM(F85:H85)</f>
        <v>22380.23</v>
      </c>
      <c r="H85" s="33" t="n">
        <v>22380.23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17270.68</v>
      </c>
      <c r="H86" s="33" t="n">
        <v>17270.68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18558.31</v>
      </c>
      <c r="H87" s="33" t="n">
        <v>18558.31</v>
      </c>
    </row>
    <row r="88" customFormat="false" ht="15" hidden="false" customHeight="false" outlineLevel="0" collapsed="false">
      <c r="B88" s="5" t="s">
        <v>153</v>
      </c>
      <c r="D88" s="33" t="n">
        <f aca="false">SUM(F88:H88)</f>
        <v>42251.16</v>
      </c>
      <c r="H88" s="33" t="n">
        <v>42251.16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20566.05</v>
      </c>
      <c r="H89" s="33" t="n">
        <v>20566.05</v>
      </c>
    </row>
    <row r="90" customFormat="false" ht="15" hidden="false" customHeight="false" outlineLevel="0" collapsed="false">
      <c r="B90" s="5" t="s">
        <v>155</v>
      </c>
      <c r="D90" s="33" t="n">
        <f aca="false">SUM(F90:H90)</f>
        <v>2242.07</v>
      </c>
      <c r="H90" s="33" t="n">
        <v>2242.07</v>
      </c>
    </row>
    <row r="91" customFormat="false" ht="15" hidden="false" customHeight="false" outlineLevel="0" collapsed="false">
      <c r="B91" s="5" t="s">
        <v>156</v>
      </c>
      <c r="D91" s="33" t="n">
        <f aca="false">SUM(F91:H91)</f>
        <v>54791.16</v>
      </c>
      <c r="H91" s="33" t="n">
        <v>54791.16</v>
      </c>
    </row>
    <row r="92" customFormat="false" ht="15" hidden="false" customHeight="false" outlineLevel="0" collapsed="false">
      <c r="B92" s="5" t="s">
        <v>157</v>
      </c>
      <c r="D92" s="33" t="n">
        <f aca="false">SUM(F92:H92)</f>
        <v>7945.49</v>
      </c>
      <c r="H92" s="33" t="n">
        <v>7945.49</v>
      </c>
    </row>
    <row r="93" customFormat="false" ht="15" hidden="false" customHeight="false" outlineLevel="0" collapsed="false">
      <c r="B93" s="5" t="s">
        <v>158</v>
      </c>
      <c r="D93" s="33" t="n">
        <f aca="false">SUM(F93:H93)</f>
        <v>6585.61</v>
      </c>
      <c r="H93" s="33" t="n">
        <v>6585.61</v>
      </c>
    </row>
    <row r="94" customFormat="false" ht="15" hidden="false" customHeight="false" outlineLevel="0" collapsed="false">
      <c r="B94" s="5" t="s">
        <v>159</v>
      </c>
      <c r="D94" s="33" t="n">
        <f aca="false">SUM(F94:H94)</f>
        <v>7605.25</v>
      </c>
      <c r="H94" s="33" t="n">
        <v>7605.25</v>
      </c>
    </row>
    <row r="95" customFormat="false" ht="15" hidden="false" customHeight="false" outlineLevel="0" collapsed="false">
      <c r="B95" s="11" t="s">
        <v>123</v>
      </c>
      <c r="D95" s="34" t="n">
        <f aca="false">SUM(D62:D94)</f>
        <v>477465.65</v>
      </c>
      <c r="F95" s="34" t="n">
        <f aca="false">SUM(F62:F94)</f>
        <v>122637.12</v>
      </c>
      <c r="H95" s="34" t="n">
        <f aca="false">SUM(H62:H94)</f>
        <v>354828.53</v>
      </c>
    </row>
    <row r="96" customFormat="false" ht="15" hidden="false" customHeight="false" outlineLevel="0" collapsed="false">
      <c r="B96" s="30" t="s">
        <v>100</v>
      </c>
      <c r="F96" s="31" t="n">
        <f aca="false">F95/D95</f>
        <v>0.256850141994508</v>
      </c>
      <c r="H96" s="31" t="n">
        <f aca="false">H95/D95</f>
        <v>0.743149858005492</v>
      </c>
    </row>
    <row r="98" customFormat="false" ht="15" hidden="false" customHeight="false" outlineLevel="0" collapsed="false">
      <c r="A98" s="10" t="s">
        <v>118</v>
      </c>
    </row>
    <row r="99" customFormat="false" ht="15" hidden="false" customHeight="false" outlineLevel="0" collapsed="false">
      <c r="B99" s="4" t="s">
        <v>119</v>
      </c>
      <c r="D99" s="4" t="s">
        <v>72</v>
      </c>
      <c r="F99" s="4" t="s">
        <v>126</v>
      </c>
      <c r="H99" s="4" t="s">
        <v>105</v>
      </c>
    </row>
    <row r="100" customFormat="false" ht="15" hidden="false" customHeight="false" outlineLevel="0" collapsed="false">
      <c r="B100" s="5" t="str">
        <f aca="false">'Apartments 17-32'!B17</f>
        <v>2 - Building - apt - 5yr</v>
      </c>
      <c r="D100" s="33" t="n">
        <f aca="false">SUM(F100:H100)</f>
        <v>99963.17</v>
      </c>
      <c r="F100" s="33" t="n">
        <f aca="false">'Apartments 17-32'!D17</f>
        <v>99963.17</v>
      </c>
    </row>
    <row r="101" customFormat="false" ht="15" hidden="false" customHeight="false" outlineLevel="0" collapsed="false">
      <c r="B101" s="5" t="str">
        <f aca="false">'Apartments 17-32'!B18</f>
        <v>2 - Building - apt - 27.5yr</v>
      </c>
      <c r="D101" s="33" t="n">
        <f aca="false">SUM(F101:H101)</f>
        <v>289225.5</v>
      </c>
      <c r="H101" s="33" t="n">
        <f aca="false">'Apartments 17-32'!D18</f>
        <v>289225.5</v>
      </c>
    </row>
    <row r="102" customFormat="false" ht="15" hidden="false" customHeight="false" outlineLevel="0" collapsed="false">
      <c r="B102" s="5" t="str">
        <f aca="false">'Apartments 17-32'!B19</f>
        <v>4 - Equipment - apt - 5yr</v>
      </c>
      <c r="D102" s="33" t="n">
        <f aca="false">SUM(F102:H102)</f>
        <v>12403.58</v>
      </c>
      <c r="F102" s="33" t="n">
        <f aca="false">'Apartments 17-32'!D19</f>
        <v>12403.58</v>
      </c>
    </row>
    <row r="103" customFormat="false" ht="15" hidden="false" customHeight="false" outlineLevel="0" collapsed="false">
      <c r="B103" s="5" t="str">
        <f aca="false">'Apartments 17-32'!B20</f>
        <v>4 - Equipment - apt - 27.5yr</v>
      </c>
      <c r="D103" s="33" t="n">
        <f aca="false">SUM(F103:H103)</f>
        <v>35887.54</v>
      </c>
      <c r="H103" s="33" t="n">
        <f aca="false">'Apartments 17-32'!D20</f>
        <v>35887.54</v>
      </c>
    </row>
    <row r="104" customFormat="false" ht="15" hidden="false" customHeight="false" outlineLevel="0" collapsed="false">
      <c r="B104" s="5" t="str">
        <f aca="false">'Apartments 17-32'!B21</f>
        <v>5 - Land Improvements - apt - 5yr</v>
      </c>
      <c r="D104" s="33" t="n">
        <f aca="false">SUM(F104:H104)</f>
        <v>10270.37</v>
      </c>
      <c r="F104" s="33" t="n">
        <f aca="false">'Apartments 17-32'!D21</f>
        <v>10270.37</v>
      </c>
    </row>
    <row r="105" customFormat="false" ht="15" hidden="false" customHeight="false" outlineLevel="0" collapsed="false">
      <c r="B105" s="5" t="str">
        <f aca="false">'Apartments 17-32'!B22</f>
        <v>5 - Land Improvements - apt - 27.5yr</v>
      </c>
      <c r="D105" s="33" t="n">
        <f aca="false">SUM(F105:H105)</f>
        <v>29715.49</v>
      </c>
      <c r="H105" s="33" t="n">
        <f aca="false">'Apartments 17-32'!D22</f>
        <v>29715.49</v>
      </c>
    </row>
    <row r="106" customFormat="false" ht="15" hidden="false" customHeight="false" outlineLevel="0" collapsed="false">
      <c r="B106" s="11" t="s">
        <v>120</v>
      </c>
      <c r="D106" s="34" t="n">
        <f aca="false">SUM(D100:D105)</f>
        <v>477465.65</v>
      </c>
      <c r="F106" s="34" t="n">
        <f aca="false">SUM(F100:F105)</f>
        <v>122637.12</v>
      </c>
      <c r="H106" s="34" t="n">
        <f aca="false">SUM(H100:H105)</f>
        <v>354828.53</v>
      </c>
    </row>
    <row r="107" customFormat="false" ht="15" hidden="false" customHeight="false" outlineLevel="0" collapsed="false">
      <c r="B107" s="16" t="s">
        <v>121</v>
      </c>
      <c r="D107" s="17" t="n">
        <f aca="false">D106-D95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161</v>
      </c>
    </row>
    <row r="5" customFormat="false" ht="15" hidden="false" customHeight="false" outlineLevel="0" collapsed="false">
      <c r="A5" s="16" t="s">
        <v>66</v>
      </c>
    </row>
    <row r="7" customFormat="false" ht="15" hidden="false" customHeight="false" outlineLevel="0" collapsed="false">
      <c r="A7" s="10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79</v>
      </c>
      <c r="L9" s="4" t="s">
        <v>80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15</v>
      </c>
      <c r="D10" s="24" t="n">
        <v>402217.16</v>
      </c>
      <c r="E10" s="24" t="n">
        <v>0</v>
      </c>
      <c r="F10" s="24" t="n">
        <v>0</v>
      </c>
      <c r="G10" s="24" t="n">
        <v>110304.65</v>
      </c>
      <c r="H10" s="24" t="n">
        <v>14626.03</v>
      </c>
      <c r="I10" s="24" t="n">
        <f aca="false">G10+H10</f>
        <v>124930.68</v>
      </c>
      <c r="J10" s="24" t="n">
        <f aca="false">D10-I10</f>
        <v>277286.48</v>
      </c>
      <c r="K10" s="25" t="s">
        <v>81</v>
      </c>
      <c r="L10" s="25" t="s">
        <v>82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15</v>
      </c>
      <c r="D11" s="24" t="n">
        <v>49907.71</v>
      </c>
      <c r="E11" s="24" t="n">
        <v>0</v>
      </c>
      <c r="F11" s="24" t="n">
        <v>0</v>
      </c>
      <c r="G11" s="24" t="n">
        <v>49907.71</v>
      </c>
      <c r="H11" s="24" t="n">
        <v>0</v>
      </c>
      <c r="I11" s="24" t="n">
        <f aca="false">G11+H11</f>
        <v>49907.71</v>
      </c>
      <c r="J11" s="24" t="n">
        <f aca="false">D11-I11</f>
        <v>0</v>
      </c>
      <c r="K11" s="25" t="s">
        <v>83</v>
      </c>
      <c r="L11" s="25" t="s">
        <v>84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15</v>
      </c>
      <c r="D12" s="24" t="n">
        <v>41324.43</v>
      </c>
      <c r="E12" s="24" t="n">
        <v>0</v>
      </c>
      <c r="F12" s="24" t="n">
        <v>0</v>
      </c>
      <c r="G12" s="24" t="n">
        <v>20481.33</v>
      </c>
      <c r="H12" s="24" t="n">
        <v>2440.09</v>
      </c>
      <c r="I12" s="24" t="n">
        <f aca="false">G12+H12</f>
        <v>22921.42</v>
      </c>
      <c r="J12" s="24" t="n">
        <f aca="false">D12-I12</f>
        <v>18403.01</v>
      </c>
      <c r="K12" s="25" t="s">
        <v>85</v>
      </c>
      <c r="L12" s="25" t="s">
        <v>86</v>
      </c>
    </row>
    <row r="13" customFormat="false" ht="15" hidden="false" customHeight="false" outlineLevel="0" collapsed="false">
      <c r="A13" s="26"/>
      <c r="B13" s="27" t="s">
        <v>28</v>
      </c>
      <c r="C13" s="26"/>
      <c r="D13" s="28" t="n">
        <f aca="false">SUM(D10:D12)</f>
        <v>493449.3</v>
      </c>
      <c r="E13" s="28" t="n">
        <f aca="false">SUM(E10:E12)</f>
        <v>0</v>
      </c>
      <c r="F13" s="28" t="n">
        <f aca="false">SUM(F10:F12)</f>
        <v>0</v>
      </c>
      <c r="G13" s="28" t="n">
        <f aca="false">SUM(G10:G12)</f>
        <v>180693.69</v>
      </c>
      <c r="H13" s="28" t="n">
        <f aca="false">SUM(H10:H12)</f>
        <v>17066.12</v>
      </c>
      <c r="I13" s="28" t="n">
        <f aca="false">SUM(I10:I12)</f>
        <v>197759.81</v>
      </c>
      <c r="J13" s="28" t="n">
        <f aca="false">SUM(J10:J12)</f>
        <v>295689.49</v>
      </c>
      <c r="K13" s="26"/>
      <c r="L13" s="26"/>
    </row>
    <row r="15" customFormat="false" ht="15" hidden="false" customHeight="false" outlineLevel="0" collapsed="false">
      <c r="A15" s="21" t="s">
        <v>87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4" t="s">
        <v>75</v>
      </c>
      <c r="H16" s="4" t="s">
        <v>76</v>
      </c>
      <c r="I16" s="4" t="s">
        <v>77</v>
      </c>
      <c r="J16" s="4" t="s">
        <v>78</v>
      </c>
      <c r="K16" s="4" t="s">
        <v>79</v>
      </c>
      <c r="L16" s="4" t="s">
        <v>80</v>
      </c>
    </row>
    <row r="17" customFormat="false" ht="15" hidden="false" customHeight="false" outlineLevel="0" collapsed="false">
      <c r="A17" s="23" t="n">
        <v>1</v>
      </c>
      <c r="B17" s="23" t="s">
        <v>36</v>
      </c>
      <c r="C17" s="23" t="s">
        <v>15</v>
      </c>
      <c r="D17" s="24" t="n">
        <v>103151.35</v>
      </c>
      <c r="E17" s="24" t="n">
        <v>0</v>
      </c>
      <c r="F17" s="24" t="n">
        <v>0</v>
      </c>
      <c r="G17" s="24" t="n">
        <v>103151.35</v>
      </c>
      <c r="H17" s="24" t="n">
        <v>0</v>
      </c>
      <c r="I17" s="24" t="n">
        <f aca="false">G17+H17</f>
        <v>103151.35</v>
      </c>
      <c r="J17" s="24" t="n">
        <f aca="false">D17-I17</f>
        <v>0</v>
      </c>
      <c r="K17" s="25" t="s">
        <v>83</v>
      </c>
      <c r="L17" s="25" t="s">
        <v>84</v>
      </c>
    </row>
    <row r="18" customFormat="false" ht="15" hidden="false" customHeight="false" outlineLevel="0" collapsed="false">
      <c r="A18" s="23" t="n">
        <v>2</v>
      </c>
      <c r="B18" s="23" t="s">
        <v>37</v>
      </c>
      <c r="C18" s="23" t="s">
        <v>15</v>
      </c>
      <c r="D18" s="24" t="n">
        <v>299065.81</v>
      </c>
      <c r="E18" s="24" t="n">
        <v>0</v>
      </c>
      <c r="F18" s="24" t="n">
        <v>0</v>
      </c>
      <c r="G18" s="24" t="n">
        <v>82016.53</v>
      </c>
      <c r="H18" s="24" t="n">
        <v>10875.12</v>
      </c>
      <c r="I18" s="24" t="n">
        <f aca="false">G18+H18</f>
        <v>92891.65</v>
      </c>
      <c r="J18" s="24" t="n">
        <f aca="false">D18-I18</f>
        <v>206174.16</v>
      </c>
      <c r="K18" s="25" t="s">
        <v>81</v>
      </c>
      <c r="L18" s="25" t="s">
        <v>82</v>
      </c>
    </row>
    <row r="19" customFormat="false" ht="15" hidden="false" customHeight="false" outlineLevel="0" collapsed="false">
      <c r="A19" s="23" t="n">
        <v>3</v>
      </c>
      <c r="B19" s="23" t="s">
        <v>38</v>
      </c>
      <c r="C19" s="23" t="s">
        <v>15</v>
      </c>
      <c r="D19" s="24" t="n">
        <v>12799.17</v>
      </c>
      <c r="E19" s="24" t="n">
        <v>0</v>
      </c>
      <c r="F19" s="24" t="n">
        <v>0</v>
      </c>
      <c r="G19" s="24" t="n">
        <v>12799.17</v>
      </c>
      <c r="H19" s="24" t="n">
        <v>0</v>
      </c>
      <c r="I19" s="24" t="n">
        <f aca="false">G19+H19</f>
        <v>12799.17</v>
      </c>
      <c r="J19" s="24" t="n">
        <f aca="false">D19-I19</f>
        <v>0</v>
      </c>
      <c r="K19" s="25" t="s">
        <v>83</v>
      </c>
      <c r="L19" s="25" t="s">
        <v>84</v>
      </c>
    </row>
    <row r="20" customFormat="false" ht="15" hidden="false" customHeight="false" outlineLevel="0" collapsed="false">
      <c r="A20" s="23" t="n">
        <v>4</v>
      </c>
      <c r="B20" s="23" t="s">
        <v>39</v>
      </c>
      <c r="C20" s="23" t="s">
        <v>15</v>
      </c>
      <c r="D20" s="24" t="n">
        <v>37108.54</v>
      </c>
      <c r="E20" s="24" t="n">
        <v>0</v>
      </c>
      <c r="F20" s="24" t="n">
        <v>0</v>
      </c>
      <c r="G20" s="24" t="n">
        <v>10176.73</v>
      </c>
      <c r="H20" s="24" t="n">
        <v>1349.4</v>
      </c>
      <c r="I20" s="24" t="n">
        <f aca="false">G20+H20</f>
        <v>11526.13</v>
      </c>
      <c r="J20" s="24" t="n">
        <f aca="false">D20-I20</f>
        <v>25582.41</v>
      </c>
      <c r="K20" s="25" t="s">
        <v>81</v>
      </c>
      <c r="L20" s="25" t="s">
        <v>82</v>
      </c>
    </row>
    <row r="21" customFormat="false" ht="15" hidden="false" customHeight="false" outlineLevel="0" collapsed="false">
      <c r="A21" s="23" t="n">
        <v>5</v>
      </c>
      <c r="B21" s="23" t="s">
        <v>40</v>
      </c>
      <c r="C21" s="23" t="s">
        <v>15</v>
      </c>
      <c r="D21" s="24" t="n">
        <v>10597.94</v>
      </c>
      <c r="E21" s="24" t="n">
        <v>0</v>
      </c>
      <c r="F21" s="24" t="n">
        <v>0</v>
      </c>
      <c r="G21" s="24" t="n">
        <v>10597.94</v>
      </c>
      <c r="H21" s="24" t="n">
        <v>0</v>
      </c>
      <c r="I21" s="24" t="n">
        <f aca="false">G21+H21</f>
        <v>10597.94</v>
      </c>
      <c r="J21" s="24" t="n">
        <f aca="false">D21-I21</f>
        <v>0</v>
      </c>
      <c r="K21" s="25" t="s">
        <v>83</v>
      </c>
      <c r="L21" s="25" t="s">
        <v>84</v>
      </c>
    </row>
    <row r="22" customFormat="false" ht="15" hidden="false" customHeight="false" outlineLevel="0" collapsed="false">
      <c r="A22" s="23" t="n">
        <v>6</v>
      </c>
      <c r="B22" s="23" t="s">
        <v>41</v>
      </c>
      <c r="C22" s="23" t="s">
        <v>15</v>
      </c>
      <c r="D22" s="24" t="n">
        <v>30726.49</v>
      </c>
      <c r="E22" s="24" t="n">
        <v>0</v>
      </c>
      <c r="F22" s="24" t="n">
        <v>0</v>
      </c>
      <c r="G22" s="24" t="n">
        <v>8426.53</v>
      </c>
      <c r="H22" s="24" t="n">
        <v>1117.33</v>
      </c>
      <c r="I22" s="24" t="n">
        <f aca="false">G22+H22</f>
        <v>9543.86</v>
      </c>
      <c r="J22" s="24" t="n">
        <f aca="false">D22-I22</f>
        <v>21182.63</v>
      </c>
      <c r="K22" s="25" t="s">
        <v>81</v>
      </c>
      <c r="L22" s="25" t="s">
        <v>82</v>
      </c>
    </row>
    <row r="23" customFormat="false" ht="15" hidden="false" customHeight="false" outlineLevel="0" collapsed="false">
      <c r="A23" s="26"/>
      <c r="B23" s="27" t="s">
        <v>28</v>
      </c>
      <c r="C23" s="26"/>
      <c r="D23" s="28" t="n">
        <f aca="false">SUM(D17:D22)</f>
        <v>493449.3</v>
      </c>
      <c r="E23" s="28" t="n">
        <f aca="false">SUM(E17:E22)</f>
        <v>0</v>
      </c>
      <c r="F23" s="28" t="n">
        <f aca="false">SUM(F17:F22)</f>
        <v>0</v>
      </c>
      <c r="G23" s="28" t="n">
        <f aca="false">SUM(G17:G22)</f>
        <v>227168.25</v>
      </c>
      <c r="H23" s="28" t="n">
        <f aca="false">SUM(H17:H22)</f>
        <v>13341.85</v>
      </c>
      <c r="I23" s="28" t="n">
        <f aca="false">SUM(I17:I22)</f>
        <v>240510.1</v>
      </c>
      <c r="J23" s="28" t="n">
        <f aca="false">SUM(J17:J22)</f>
        <v>252939.2</v>
      </c>
      <c r="K23" s="26"/>
      <c r="L23" s="26"/>
    </row>
    <row r="25" customFormat="false" ht="15" hidden="false" customHeight="false" outlineLevel="0" collapsed="false">
      <c r="B25" s="18" t="s">
        <v>88</v>
      </c>
    </row>
    <row r="26" customFormat="false" ht="15" hidden="false" customHeight="false" outlineLevel="0" collapsed="false">
      <c r="B26" s="5" t="s">
        <v>89</v>
      </c>
      <c r="D26" s="6" t="n">
        <f aca="false">I13</f>
        <v>197759.81</v>
      </c>
    </row>
    <row r="27" customFormat="false" ht="15" hidden="false" customHeight="false" outlineLevel="0" collapsed="false">
      <c r="B27" s="5" t="s">
        <v>90</v>
      </c>
      <c r="D27" s="6" t="n">
        <f aca="false">I23</f>
        <v>240510.1</v>
      </c>
    </row>
    <row r="28" customFormat="false" ht="15" hidden="false" customHeight="false" outlineLevel="0" collapsed="false">
      <c r="B28" s="11" t="s">
        <v>88</v>
      </c>
      <c r="D28" s="29" t="n">
        <f aca="false">D26-D27</f>
        <v>-42750.29</v>
      </c>
    </row>
    <row r="30" customFormat="false" ht="15" hidden="false" customHeight="false" outlineLevel="0" collapsed="false">
      <c r="A30" s="10" t="s">
        <v>91</v>
      </c>
    </row>
    <row r="31" customFormat="false" ht="15" hidden="false" customHeight="false" outlineLevel="0" collapsed="false">
      <c r="A31" s="21" t="s">
        <v>92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69</v>
      </c>
      <c r="B32" s="4" t="s">
        <v>70</v>
      </c>
      <c r="C32" s="4" t="s">
        <v>71</v>
      </c>
      <c r="D32" s="4" t="s">
        <v>72</v>
      </c>
      <c r="E32" s="4" t="s">
        <v>73</v>
      </c>
      <c r="F32" s="4" t="s">
        <v>74</v>
      </c>
      <c r="G32" s="4" t="s">
        <v>93</v>
      </c>
      <c r="H32" s="4" t="s">
        <v>94</v>
      </c>
      <c r="I32" s="4" t="s">
        <v>77</v>
      </c>
      <c r="J32" s="4" t="s">
        <v>78</v>
      </c>
      <c r="K32" s="4" t="s">
        <v>79</v>
      </c>
      <c r="L32" s="4" t="s">
        <v>80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15</v>
      </c>
      <c r="D33" s="24" t="n">
        <v>402217.16</v>
      </c>
      <c r="E33" s="24" t="n">
        <v>0</v>
      </c>
      <c r="F33" s="24" t="n">
        <v>0</v>
      </c>
      <c r="G33" s="24" t="n">
        <v>110304.65</v>
      </c>
      <c r="H33" s="24" t="n">
        <v>14626.03</v>
      </c>
      <c r="I33" s="24" t="n">
        <f aca="false">G33+H33</f>
        <v>124930.68</v>
      </c>
      <c r="J33" s="24" t="n">
        <f aca="false">D33-I33</f>
        <v>277286.48</v>
      </c>
      <c r="K33" s="25" t="s">
        <v>81</v>
      </c>
      <c r="L33" s="25" t="s">
        <v>82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15</v>
      </c>
      <c r="D34" s="24" t="n">
        <v>49907.71</v>
      </c>
      <c r="E34" s="24" t="n">
        <v>0</v>
      </c>
      <c r="F34" s="24" t="n">
        <v>0</v>
      </c>
      <c r="G34" s="24" t="n">
        <v>49907.71</v>
      </c>
      <c r="H34" s="24" t="n">
        <v>0</v>
      </c>
      <c r="I34" s="24" t="n">
        <f aca="false">G34+H34</f>
        <v>49907.71</v>
      </c>
      <c r="J34" s="24" t="n">
        <f aca="false">D34-I34</f>
        <v>0</v>
      </c>
      <c r="K34" s="25" t="s">
        <v>83</v>
      </c>
      <c r="L34" s="25" t="s">
        <v>84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15</v>
      </c>
      <c r="D35" s="24" t="n">
        <v>41324.43</v>
      </c>
      <c r="E35" s="24" t="n">
        <v>0</v>
      </c>
      <c r="F35" s="24" t="n">
        <v>0</v>
      </c>
      <c r="G35" s="24" t="n">
        <v>20481.33</v>
      </c>
      <c r="H35" s="24" t="n">
        <v>2440.09</v>
      </c>
      <c r="I35" s="24" t="n">
        <f aca="false">G35+H35</f>
        <v>22921.42</v>
      </c>
      <c r="J35" s="24" t="n">
        <f aca="false">D35-I35</f>
        <v>18403.01</v>
      </c>
      <c r="K35" s="25" t="s">
        <v>85</v>
      </c>
      <c r="L35" s="25" t="s">
        <v>86</v>
      </c>
    </row>
    <row r="36" customFormat="false" ht="15" hidden="false" customHeight="false" outlineLevel="0" collapsed="false">
      <c r="A36" s="26"/>
      <c r="B36" s="27" t="s">
        <v>28</v>
      </c>
      <c r="C36" s="26"/>
      <c r="D36" s="28" t="n">
        <f aca="false">SUM(D33:D35)</f>
        <v>493449.3</v>
      </c>
      <c r="E36" s="28" t="n">
        <f aca="false">SUM(E33:E35)</f>
        <v>0</v>
      </c>
      <c r="F36" s="28" t="n">
        <f aca="false">SUM(F33:F35)</f>
        <v>0</v>
      </c>
      <c r="G36" s="28" t="n">
        <f aca="false">SUM(G33:G35)</f>
        <v>180693.69</v>
      </c>
      <c r="H36" s="28" t="n">
        <f aca="false">SUM(H33:H35)</f>
        <v>17066.12</v>
      </c>
      <c r="I36" s="28" t="n">
        <f aca="false">SUM(I33:I35)</f>
        <v>197759.81</v>
      </c>
      <c r="J36" s="28" t="n">
        <f aca="false">SUM(J33:J35)</f>
        <v>295689.49</v>
      </c>
      <c r="K36" s="26"/>
      <c r="L36" s="26"/>
    </row>
    <row r="38" customFormat="false" ht="15" hidden="false" customHeight="false" outlineLevel="0" collapsed="false">
      <c r="A38" s="21" t="s">
        <v>95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69</v>
      </c>
      <c r="B39" s="4" t="s">
        <v>70</v>
      </c>
      <c r="C39" s="4" t="s">
        <v>71</v>
      </c>
      <c r="D39" s="4" t="s">
        <v>72</v>
      </c>
      <c r="E39" s="4" t="s">
        <v>73</v>
      </c>
      <c r="F39" s="4" t="s">
        <v>74</v>
      </c>
      <c r="G39" s="4" t="s">
        <v>93</v>
      </c>
      <c r="H39" s="4" t="s">
        <v>94</v>
      </c>
      <c r="I39" s="4" t="s">
        <v>77</v>
      </c>
      <c r="J39" s="4" t="s">
        <v>78</v>
      </c>
      <c r="K39" s="4" t="s">
        <v>79</v>
      </c>
      <c r="L39" s="4" t="s">
        <v>80</v>
      </c>
    </row>
    <row r="40" customFormat="false" ht="15" hidden="false" customHeight="false" outlineLevel="0" collapsed="false">
      <c r="A40" s="23" t="n">
        <v>1</v>
      </c>
      <c r="B40" s="23" t="s">
        <v>36</v>
      </c>
      <c r="C40" s="23" t="s">
        <v>15</v>
      </c>
      <c r="D40" s="24" t="n">
        <v>103151.35</v>
      </c>
      <c r="E40" s="24" t="n">
        <v>0</v>
      </c>
      <c r="F40" s="24" t="n">
        <v>0</v>
      </c>
      <c r="G40" s="24" t="n">
        <v>103151.35</v>
      </c>
      <c r="H40" s="24" t="n">
        <v>0</v>
      </c>
      <c r="I40" s="24" t="n">
        <f aca="false">G40+H40</f>
        <v>103151.35</v>
      </c>
      <c r="J40" s="24" t="n">
        <f aca="false">D40-I40</f>
        <v>0</v>
      </c>
      <c r="K40" s="25" t="s">
        <v>83</v>
      </c>
      <c r="L40" s="25" t="s">
        <v>84</v>
      </c>
    </row>
    <row r="41" customFormat="false" ht="15" hidden="false" customHeight="false" outlineLevel="0" collapsed="false">
      <c r="A41" s="23" t="n">
        <v>2</v>
      </c>
      <c r="B41" s="23" t="s">
        <v>37</v>
      </c>
      <c r="C41" s="23" t="s">
        <v>15</v>
      </c>
      <c r="D41" s="24" t="n">
        <v>299065.81</v>
      </c>
      <c r="E41" s="24" t="n">
        <v>0</v>
      </c>
      <c r="F41" s="24" t="n">
        <v>0</v>
      </c>
      <c r="G41" s="24" t="n">
        <v>82016.53</v>
      </c>
      <c r="H41" s="24" t="n">
        <v>10875.12</v>
      </c>
      <c r="I41" s="24" t="n">
        <f aca="false">G41+H41</f>
        <v>92891.65</v>
      </c>
      <c r="J41" s="24" t="n">
        <f aca="false">D41-I41</f>
        <v>206174.16</v>
      </c>
      <c r="K41" s="25" t="s">
        <v>81</v>
      </c>
      <c r="L41" s="25" t="s">
        <v>82</v>
      </c>
    </row>
    <row r="42" customFormat="false" ht="15" hidden="false" customHeight="false" outlineLevel="0" collapsed="false">
      <c r="A42" s="23" t="n">
        <v>3</v>
      </c>
      <c r="B42" s="23" t="s">
        <v>38</v>
      </c>
      <c r="C42" s="23" t="s">
        <v>15</v>
      </c>
      <c r="D42" s="24" t="n">
        <v>12799.17</v>
      </c>
      <c r="E42" s="24" t="n">
        <v>0</v>
      </c>
      <c r="F42" s="24" t="n">
        <v>0</v>
      </c>
      <c r="G42" s="24" t="n">
        <v>12799.17</v>
      </c>
      <c r="H42" s="24" t="n">
        <v>0</v>
      </c>
      <c r="I42" s="24" t="n">
        <f aca="false">G42+H42</f>
        <v>12799.17</v>
      </c>
      <c r="J42" s="24" t="n">
        <f aca="false">D42-I42</f>
        <v>0</v>
      </c>
      <c r="K42" s="25" t="s">
        <v>83</v>
      </c>
      <c r="L42" s="25" t="s">
        <v>84</v>
      </c>
    </row>
    <row r="43" customFormat="false" ht="15" hidden="false" customHeight="false" outlineLevel="0" collapsed="false">
      <c r="A43" s="23" t="n">
        <v>4</v>
      </c>
      <c r="B43" s="23" t="s">
        <v>39</v>
      </c>
      <c r="C43" s="23" t="s">
        <v>15</v>
      </c>
      <c r="D43" s="24" t="n">
        <v>37108.54</v>
      </c>
      <c r="E43" s="24" t="n">
        <v>0</v>
      </c>
      <c r="F43" s="24" t="n">
        <v>0</v>
      </c>
      <c r="G43" s="24" t="n">
        <v>10176.73</v>
      </c>
      <c r="H43" s="24" t="n">
        <v>1349.4</v>
      </c>
      <c r="I43" s="24" t="n">
        <f aca="false">G43+H43</f>
        <v>11526.13</v>
      </c>
      <c r="J43" s="24" t="n">
        <f aca="false">D43-I43</f>
        <v>25582.41</v>
      </c>
      <c r="K43" s="25" t="s">
        <v>81</v>
      </c>
      <c r="L43" s="25" t="s">
        <v>82</v>
      </c>
    </row>
    <row r="44" customFormat="false" ht="15" hidden="false" customHeight="false" outlineLevel="0" collapsed="false">
      <c r="A44" s="23" t="n">
        <v>5</v>
      </c>
      <c r="B44" s="23" t="s">
        <v>40</v>
      </c>
      <c r="C44" s="23" t="s">
        <v>15</v>
      </c>
      <c r="D44" s="24" t="n">
        <v>10597.94</v>
      </c>
      <c r="E44" s="24" t="n">
        <v>0</v>
      </c>
      <c r="F44" s="24" t="n">
        <v>0</v>
      </c>
      <c r="G44" s="24" t="n">
        <v>10597.94</v>
      </c>
      <c r="H44" s="24" t="n">
        <v>0</v>
      </c>
      <c r="I44" s="24" t="n">
        <f aca="false">G44+H44</f>
        <v>10597.94</v>
      </c>
      <c r="J44" s="24" t="n">
        <f aca="false">D44-I44</f>
        <v>0</v>
      </c>
      <c r="K44" s="25" t="s">
        <v>83</v>
      </c>
      <c r="L44" s="25" t="s">
        <v>84</v>
      </c>
    </row>
    <row r="45" customFormat="false" ht="15" hidden="false" customHeight="false" outlineLevel="0" collapsed="false">
      <c r="A45" s="23" t="n">
        <v>6</v>
      </c>
      <c r="B45" s="23" t="s">
        <v>41</v>
      </c>
      <c r="C45" s="23" t="s">
        <v>15</v>
      </c>
      <c r="D45" s="24" t="n">
        <v>30726.49</v>
      </c>
      <c r="E45" s="24" t="n">
        <v>0</v>
      </c>
      <c r="F45" s="24" t="n">
        <v>0</v>
      </c>
      <c r="G45" s="24" t="n">
        <v>8426.53</v>
      </c>
      <c r="H45" s="24" t="n">
        <v>1117.33</v>
      </c>
      <c r="I45" s="24" t="n">
        <f aca="false">G45+H45</f>
        <v>9543.86</v>
      </c>
      <c r="J45" s="24" t="n">
        <f aca="false">D45-I45</f>
        <v>21182.63</v>
      </c>
      <c r="K45" s="25" t="s">
        <v>81</v>
      </c>
      <c r="L45" s="25" t="s">
        <v>82</v>
      </c>
    </row>
    <row r="46" customFormat="false" ht="15" hidden="false" customHeight="false" outlineLevel="0" collapsed="false">
      <c r="A46" s="26"/>
      <c r="B46" s="27" t="s">
        <v>28</v>
      </c>
      <c r="C46" s="26"/>
      <c r="D46" s="28" t="n">
        <f aca="false">SUM(D40:D45)</f>
        <v>493449.3</v>
      </c>
      <c r="E46" s="28" t="n">
        <f aca="false">SUM(E40:E45)</f>
        <v>0</v>
      </c>
      <c r="F46" s="28" t="n">
        <f aca="false">SUM(F40:F45)</f>
        <v>0</v>
      </c>
      <c r="G46" s="28" t="n">
        <f aca="false">SUM(G40:G45)</f>
        <v>227168.25</v>
      </c>
      <c r="H46" s="28" t="n">
        <f aca="false">SUM(H40:H45)</f>
        <v>13341.85</v>
      </c>
      <c r="I46" s="28" t="n">
        <f aca="false">SUM(I40:I45)</f>
        <v>240510.1</v>
      </c>
      <c r="J46" s="28" t="n">
        <f aca="false">SUM(J40:J45)</f>
        <v>252939.2</v>
      </c>
      <c r="K46" s="26"/>
      <c r="L46" s="26"/>
    </row>
    <row r="48" customFormat="false" ht="15" hidden="false" customHeight="false" outlineLevel="0" collapsed="false">
      <c r="B48" s="18" t="s">
        <v>96</v>
      </c>
    </row>
    <row r="49" customFormat="false" ht="15" hidden="false" customHeight="false" outlineLevel="0" collapsed="false">
      <c r="B49" s="5" t="s">
        <v>89</v>
      </c>
      <c r="D49" s="6" t="n">
        <f aca="false">I36</f>
        <v>197759.81</v>
      </c>
    </row>
    <row r="50" customFormat="false" ht="15" hidden="false" customHeight="false" outlineLevel="0" collapsed="false">
      <c r="B50" s="5" t="s">
        <v>90</v>
      </c>
      <c r="D50" s="6" t="n">
        <f aca="false">I46</f>
        <v>240510.1</v>
      </c>
    </row>
    <row r="51" customFormat="false" ht="15" hidden="false" customHeight="false" outlineLevel="0" collapsed="false">
      <c r="B51" s="11" t="s">
        <v>96</v>
      </c>
      <c r="D51" s="29" t="n">
        <f aca="false">D49-D50</f>
        <v>-42750.29</v>
      </c>
    </row>
    <row r="53" customFormat="false" ht="15" hidden="false" customHeight="false" outlineLevel="0" collapsed="false">
      <c r="A53" s="10" t="s">
        <v>97</v>
      </c>
    </row>
    <row r="54" customFormat="false" ht="15" hidden="false" customHeight="false" outlineLevel="0" collapsed="false">
      <c r="B54" s="11" t="s">
        <v>123</v>
      </c>
      <c r="D54" s="12" t="n">
        <f aca="false">D96</f>
        <v>493449.3</v>
      </c>
    </row>
    <row r="55" customFormat="false" ht="15" hidden="false" customHeight="false" outlineLevel="0" collapsed="false">
      <c r="B55" s="5" t="s">
        <v>124</v>
      </c>
      <c r="D55" s="6" t="n">
        <f aca="false">F96</f>
        <v>126548.46</v>
      </c>
    </row>
    <row r="56" customFormat="false" ht="15" hidden="false" customHeight="false" outlineLevel="0" collapsed="false">
      <c r="B56" s="30" t="s">
        <v>100</v>
      </c>
      <c r="D56" s="31" t="n">
        <f aca="false">F97</f>
        <v>0.256456863957452</v>
      </c>
    </row>
    <row r="57" customFormat="false" ht="15" hidden="false" customHeight="false" outlineLevel="0" collapsed="false">
      <c r="B57" s="5" t="s">
        <v>125</v>
      </c>
      <c r="D57" s="6" t="n">
        <f aca="false">H96</f>
        <v>366900.84</v>
      </c>
    </row>
    <row r="58" customFormat="false" ht="15" hidden="false" customHeight="false" outlineLevel="0" collapsed="false">
      <c r="B58" s="30" t="s">
        <v>100</v>
      </c>
      <c r="D58" s="31" t="n">
        <f aca="false">H97</f>
        <v>0.743543136042548</v>
      </c>
    </row>
    <row r="60" customFormat="false" ht="15" hidden="false" customHeight="false" outlineLevel="0" collapsed="false">
      <c r="A60" s="10" t="s">
        <v>102</v>
      </c>
    </row>
    <row r="61" customFormat="false" ht="15" hidden="false" customHeight="false" outlineLevel="0" collapsed="false">
      <c r="B61" s="4" t="s">
        <v>103</v>
      </c>
      <c r="D61" s="4" t="s">
        <v>72</v>
      </c>
      <c r="F61" s="4" t="s">
        <v>126</v>
      </c>
      <c r="H61" s="4" t="s">
        <v>105</v>
      </c>
    </row>
    <row r="62" customFormat="false" ht="15" hidden="false" customHeight="false" outlineLevel="0" collapsed="false">
      <c r="B62" s="32" t="s">
        <v>127</v>
      </c>
    </row>
    <row r="63" customFormat="false" ht="15" hidden="false" customHeight="false" outlineLevel="0" collapsed="false">
      <c r="B63" s="5" t="s">
        <v>128</v>
      </c>
      <c r="D63" s="33" t="n">
        <f aca="false">SUM(F63:H63)</f>
        <v>30136.41</v>
      </c>
      <c r="F63" s="33" t="n">
        <v>30136.41</v>
      </c>
    </row>
    <row r="64" customFormat="false" ht="15" hidden="false" customHeight="false" outlineLevel="0" collapsed="false">
      <c r="B64" s="5" t="s">
        <v>129</v>
      </c>
      <c r="D64" s="33" t="n">
        <f aca="false">SUM(F64:H64)</f>
        <v>5465.85</v>
      </c>
      <c r="F64" s="33" t="n">
        <v>5465.85</v>
      </c>
    </row>
    <row r="65" customFormat="false" ht="15" hidden="false" customHeight="false" outlineLevel="0" collapsed="false">
      <c r="B65" s="5" t="s">
        <v>130</v>
      </c>
      <c r="D65" s="33" t="n">
        <f aca="false">SUM(F65:H65)</f>
        <v>1395.33</v>
      </c>
      <c r="F65" s="33" t="n">
        <v>1395.33</v>
      </c>
    </row>
    <row r="66" customFormat="false" ht="15" hidden="false" customHeight="false" outlineLevel="0" collapsed="false">
      <c r="B66" s="5" t="s">
        <v>131</v>
      </c>
      <c r="D66" s="33" t="n">
        <f aca="false">SUM(F66:H66)</f>
        <v>9950.29</v>
      </c>
      <c r="F66" s="33" t="n">
        <v>9950.29</v>
      </c>
    </row>
    <row r="67" customFormat="false" ht="15" hidden="false" customHeight="false" outlineLevel="0" collapsed="false">
      <c r="B67" s="5" t="s">
        <v>132</v>
      </c>
      <c r="D67" s="33" t="n">
        <f aca="false">SUM(F67:H67)</f>
        <v>26142.1</v>
      </c>
      <c r="F67" s="33" t="n">
        <v>26142.1</v>
      </c>
    </row>
    <row r="68" customFormat="false" ht="15" hidden="false" customHeight="false" outlineLevel="0" collapsed="false">
      <c r="B68" s="5" t="s">
        <v>133</v>
      </c>
      <c r="D68" s="33" t="n">
        <f aca="false">SUM(F68:H68)</f>
        <v>2272.28</v>
      </c>
      <c r="F68" s="33" t="n">
        <v>2272.28</v>
      </c>
    </row>
    <row r="69" customFormat="false" ht="15" hidden="false" customHeight="false" outlineLevel="0" collapsed="false">
      <c r="B69" s="5" t="s">
        <v>134</v>
      </c>
      <c r="D69" s="33" t="n">
        <f aca="false">SUM(F69:H69)</f>
        <v>6021.12</v>
      </c>
      <c r="F69" s="33" t="n">
        <v>6021.12</v>
      </c>
    </row>
    <row r="70" customFormat="false" ht="15" hidden="false" customHeight="false" outlineLevel="0" collapsed="false">
      <c r="B70" s="5" t="s">
        <v>135</v>
      </c>
      <c r="D70" s="33" t="n">
        <f aca="false">SUM(F70:H70)</f>
        <v>243.74</v>
      </c>
      <c r="F70" s="33" t="n">
        <v>243.74</v>
      </c>
    </row>
    <row r="71" customFormat="false" ht="15" hidden="false" customHeight="false" outlineLevel="0" collapsed="false">
      <c r="B71" s="5" t="s">
        <v>136</v>
      </c>
      <c r="D71" s="33" t="n">
        <f aca="false">SUM(F71:H71)</f>
        <v>9386.83</v>
      </c>
      <c r="F71" s="33" t="n">
        <v>9386.83</v>
      </c>
    </row>
    <row r="72" customFormat="false" ht="15" hidden="false" customHeight="false" outlineLevel="0" collapsed="false">
      <c r="B72" s="5" t="s">
        <v>137</v>
      </c>
      <c r="D72" s="33" t="n">
        <f aca="false">SUM(F72:H72)</f>
        <v>3873.27</v>
      </c>
      <c r="F72" s="33" t="n">
        <v>3873.27</v>
      </c>
    </row>
    <row r="73" customFormat="false" ht="15" hidden="false" customHeight="false" outlineLevel="0" collapsed="false">
      <c r="B73" s="5" t="s">
        <v>138</v>
      </c>
      <c r="D73" s="33" t="n">
        <f aca="false">SUM(F73:H73)</f>
        <v>13466.48</v>
      </c>
      <c r="F73" s="33" t="n">
        <v>13466.48</v>
      </c>
    </row>
    <row r="74" customFormat="false" ht="15" hidden="false" customHeight="false" outlineLevel="0" collapsed="false">
      <c r="B74" s="5" t="s">
        <v>139</v>
      </c>
      <c r="D74" s="33" t="n">
        <f aca="false">SUM(F74:H74)</f>
        <v>1036.46</v>
      </c>
      <c r="F74" s="33" t="n">
        <v>1036.46</v>
      </c>
    </row>
    <row r="75" customFormat="false" ht="15" hidden="false" customHeight="false" outlineLevel="0" collapsed="false">
      <c r="B75" s="5" t="s">
        <v>140</v>
      </c>
      <c r="D75" s="33" t="n">
        <f aca="false">SUM(F75:H75)</f>
        <v>212.61</v>
      </c>
      <c r="F75" s="33" t="n">
        <v>212.61</v>
      </c>
    </row>
    <row r="76" customFormat="false" ht="15" hidden="false" customHeight="false" outlineLevel="0" collapsed="false">
      <c r="B76" s="5" t="s">
        <v>141</v>
      </c>
      <c r="D76" s="33" t="n">
        <f aca="false">SUM(F76:H76)</f>
        <v>16945.69</v>
      </c>
      <c r="F76" s="33" t="n">
        <v>16945.69</v>
      </c>
    </row>
    <row r="77" customFormat="false" ht="15" hidden="false" customHeight="false" outlineLevel="0" collapsed="false">
      <c r="B77" s="32" t="s">
        <v>142</v>
      </c>
    </row>
    <row r="78" customFormat="false" ht="15" hidden="false" customHeight="false" outlineLevel="0" collapsed="false">
      <c r="B78" s="5" t="s">
        <v>143</v>
      </c>
      <c r="D78" s="33" t="n">
        <f aca="false">SUM(F78:H78)</f>
        <v>23448.01</v>
      </c>
      <c r="H78" s="33" t="n">
        <v>23448.01</v>
      </c>
    </row>
    <row r="79" customFormat="false" ht="15" hidden="false" customHeight="false" outlineLevel="0" collapsed="false">
      <c r="B79" s="5" t="s">
        <v>144</v>
      </c>
      <c r="D79" s="33" t="n">
        <f aca="false">SUM(F79:H79)</f>
        <v>29658.07</v>
      </c>
      <c r="H79" s="33" t="n">
        <v>29658.07</v>
      </c>
    </row>
    <row r="80" customFormat="false" ht="15" hidden="false" customHeight="false" outlineLevel="0" collapsed="false">
      <c r="B80" s="5" t="s">
        <v>145</v>
      </c>
      <c r="D80" s="33" t="n">
        <f aca="false">SUM(F80:H80)</f>
        <v>16607.81</v>
      </c>
      <c r="H80" s="33" t="n">
        <v>16607.81</v>
      </c>
    </row>
    <row r="81" customFormat="false" ht="15" hidden="false" customHeight="false" outlineLevel="0" collapsed="false">
      <c r="B81" s="5" t="s">
        <v>146</v>
      </c>
      <c r="D81" s="33" t="n">
        <f aca="false">SUM(F81:H81)</f>
        <v>34534.05</v>
      </c>
      <c r="H81" s="33" t="n">
        <v>34534.05</v>
      </c>
    </row>
    <row r="82" customFormat="false" ht="15" hidden="false" customHeight="false" outlineLevel="0" collapsed="false">
      <c r="B82" s="5" t="s">
        <v>147</v>
      </c>
      <c r="D82" s="33" t="n">
        <f aca="false">SUM(F82:H82)</f>
        <v>36249.92</v>
      </c>
      <c r="H82" s="33" t="n">
        <v>36249.92</v>
      </c>
    </row>
    <row r="83" customFormat="false" ht="15" hidden="false" customHeight="false" outlineLevel="0" collapsed="false">
      <c r="B83" s="5" t="s">
        <v>148</v>
      </c>
      <c r="D83" s="33" t="n">
        <f aca="false">SUM(F83:H83)</f>
        <v>3365.95</v>
      </c>
      <c r="H83" s="33" t="n">
        <v>3365.95</v>
      </c>
    </row>
    <row r="84" customFormat="false" ht="15" hidden="false" customHeight="false" outlineLevel="0" collapsed="false">
      <c r="B84" s="5" t="s">
        <v>149</v>
      </c>
      <c r="D84" s="33" t="n">
        <f aca="false">SUM(F84:H84)</f>
        <v>17091.99</v>
      </c>
      <c r="H84" s="33" t="n">
        <v>17091.99</v>
      </c>
    </row>
    <row r="85" customFormat="false" ht="15" hidden="false" customHeight="false" outlineLevel="0" collapsed="false">
      <c r="B85" s="5" t="s">
        <v>150</v>
      </c>
      <c r="D85" s="33" t="n">
        <f aca="false">SUM(F85:H85)</f>
        <v>23102.12</v>
      </c>
      <c r="H85" s="33" t="n">
        <v>23102.12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17776.66</v>
      </c>
      <c r="H86" s="33" t="n">
        <v>17776.66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19066</v>
      </c>
      <c r="H87" s="33" t="n">
        <v>19066</v>
      </c>
    </row>
    <row r="88" customFormat="false" ht="15" hidden="false" customHeight="false" outlineLevel="0" collapsed="false">
      <c r="B88" s="5" t="s">
        <v>153</v>
      </c>
      <c r="D88" s="33" t="n">
        <f aca="false">SUM(F88:H88)</f>
        <v>43666.66</v>
      </c>
      <c r="H88" s="33" t="n">
        <v>43666.66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21220.8</v>
      </c>
      <c r="H89" s="33" t="n">
        <v>21220.8</v>
      </c>
    </row>
    <row r="90" customFormat="false" ht="15" hidden="false" customHeight="false" outlineLevel="0" collapsed="false">
      <c r="B90" s="5" t="s">
        <v>155</v>
      </c>
      <c r="D90" s="33" t="n">
        <f aca="false">SUM(F90:H90)</f>
        <v>2526.07</v>
      </c>
      <c r="H90" s="33" t="n">
        <v>2526.07</v>
      </c>
    </row>
    <row r="91" customFormat="false" ht="15" hidden="false" customHeight="false" outlineLevel="0" collapsed="false">
      <c r="B91" s="5" t="s">
        <v>162</v>
      </c>
      <c r="D91" s="33" t="n">
        <f aca="false">SUM(F91:H91)</f>
        <v>112.69</v>
      </c>
      <c r="H91" s="33" t="n">
        <v>112.69</v>
      </c>
    </row>
    <row r="92" customFormat="false" ht="15" hidden="false" customHeight="false" outlineLevel="0" collapsed="false">
      <c r="B92" s="5" t="s">
        <v>156</v>
      </c>
      <c r="D92" s="33" t="n">
        <f aca="false">SUM(F92:H92)</f>
        <v>56261.51</v>
      </c>
      <c r="H92" s="33" t="n">
        <v>56261.51</v>
      </c>
    </row>
    <row r="93" customFormat="false" ht="15" hidden="false" customHeight="false" outlineLevel="0" collapsed="false">
      <c r="B93" s="5" t="s">
        <v>157</v>
      </c>
      <c r="D93" s="33" t="n">
        <f aca="false">SUM(F93:H93)</f>
        <v>7945.49</v>
      </c>
      <c r="H93" s="33" t="n">
        <v>7945.49</v>
      </c>
    </row>
    <row r="94" customFormat="false" ht="15" hidden="false" customHeight="false" outlineLevel="0" collapsed="false">
      <c r="B94" s="5" t="s">
        <v>158</v>
      </c>
      <c r="D94" s="33" t="n">
        <f aca="false">SUM(F94:H94)</f>
        <v>6661.79</v>
      </c>
      <c r="H94" s="33" t="n">
        <v>6661.79</v>
      </c>
    </row>
    <row r="95" customFormat="false" ht="15" hidden="false" customHeight="false" outlineLevel="0" collapsed="false">
      <c r="B95" s="5" t="s">
        <v>159</v>
      </c>
      <c r="D95" s="33" t="n">
        <f aca="false">SUM(F95:H95)</f>
        <v>7605.25</v>
      </c>
      <c r="H95" s="33" t="n">
        <v>7605.25</v>
      </c>
    </row>
    <row r="96" customFormat="false" ht="15" hidden="false" customHeight="false" outlineLevel="0" collapsed="false">
      <c r="B96" s="11" t="s">
        <v>123</v>
      </c>
      <c r="D96" s="34" t="n">
        <f aca="false">SUM(D62:D95)</f>
        <v>493449.3</v>
      </c>
      <c r="F96" s="34" t="n">
        <f aca="false">SUM(F62:F95)</f>
        <v>126548.46</v>
      </c>
      <c r="H96" s="34" t="n">
        <f aca="false">SUM(H62:H95)</f>
        <v>366900.84</v>
      </c>
    </row>
    <row r="97" customFormat="false" ht="15" hidden="false" customHeight="false" outlineLevel="0" collapsed="false">
      <c r="B97" s="30" t="s">
        <v>100</v>
      </c>
      <c r="F97" s="31" t="n">
        <f aca="false">F96/D96</f>
        <v>0.256456863957452</v>
      </c>
      <c r="H97" s="31" t="n">
        <f aca="false">H96/D96</f>
        <v>0.743543136042548</v>
      </c>
    </row>
    <row r="99" customFormat="false" ht="15" hidden="false" customHeight="false" outlineLevel="0" collapsed="false">
      <c r="A99" s="10" t="s">
        <v>118</v>
      </c>
    </row>
    <row r="100" customFormat="false" ht="15" hidden="false" customHeight="false" outlineLevel="0" collapsed="false">
      <c r="B100" s="4" t="s">
        <v>119</v>
      </c>
      <c r="D100" s="4" t="s">
        <v>72</v>
      </c>
      <c r="F100" s="4" t="s">
        <v>126</v>
      </c>
      <c r="H100" s="4" t="s">
        <v>105</v>
      </c>
    </row>
    <row r="101" customFormat="false" ht="15" hidden="false" customHeight="false" outlineLevel="0" collapsed="false">
      <c r="B101" s="5" t="str">
        <f aca="false">'Apartments 33-48'!B17</f>
        <v>2 - Building - apt - 5yr</v>
      </c>
      <c r="D101" s="33" t="n">
        <f aca="false">SUM(F101:H101)</f>
        <v>103151.35</v>
      </c>
      <c r="F101" s="33" t="n">
        <f aca="false">'Apartments 33-48'!D17</f>
        <v>103151.35</v>
      </c>
    </row>
    <row r="102" customFormat="false" ht="15" hidden="false" customHeight="false" outlineLevel="0" collapsed="false">
      <c r="B102" s="5" t="str">
        <f aca="false">'Apartments 33-48'!B18</f>
        <v>2 - Building - apt - 27.5yr</v>
      </c>
      <c r="D102" s="33" t="n">
        <f aca="false">SUM(F102:H102)</f>
        <v>299065.81</v>
      </c>
      <c r="H102" s="33" t="n">
        <f aca="false">'Apartments 33-48'!D18</f>
        <v>299065.81</v>
      </c>
    </row>
    <row r="103" customFormat="false" ht="15" hidden="false" customHeight="false" outlineLevel="0" collapsed="false">
      <c r="B103" s="5" t="str">
        <f aca="false">'Apartments 33-48'!B19</f>
        <v>4 - Equipment - apt - 5yr</v>
      </c>
      <c r="D103" s="33" t="n">
        <f aca="false">SUM(F103:H103)</f>
        <v>12799.17</v>
      </c>
      <c r="F103" s="33" t="n">
        <f aca="false">'Apartments 33-48'!D19</f>
        <v>12799.17</v>
      </c>
    </row>
    <row r="104" customFormat="false" ht="15" hidden="false" customHeight="false" outlineLevel="0" collapsed="false">
      <c r="B104" s="5" t="str">
        <f aca="false">'Apartments 33-48'!B20</f>
        <v>4 - Equipment - apt - 27.5yr</v>
      </c>
      <c r="D104" s="33" t="n">
        <f aca="false">SUM(F104:H104)</f>
        <v>37108.54</v>
      </c>
      <c r="H104" s="33" t="n">
        <f aca="false">'Apartments 33-48'!D20</f>
        <v>37108.54</v>
      </c>
    </row>
    <row r="105" customFormat="false" ht="15" hidden="false" customHeight="false" outlineLevel="0" collapsed="false">
      <c r="B105" s="5" t="str">
        <f aca="false">'Apartments 33-48'!B21</f>
        <v>5 - Land Improvements - apt - 5yr</v>
      </c>
      <c r="D105" s="33" t="n">
        <f aca="false">SUM(F105:H105)</f>
        <v>10597.94</v>
      </c>
      <c r="F105" s="33" t="n">
        <f aca="false">'Apartments 33-48'!D21</f>
        <v>10597.94</v>
      </c>
    </row>
    <row r="106" customFormat="false" ht="15" hidden="false" customHeight="false" outlineLevel="0" collapsed="false">
      <c r="B106" s="5" t="str">
        <f aca="false">'Apartments 33-48'!B22</f>
        <v>5 - Land Improvements - apt - 27.5yr</v>
      </c>
      <c r="D106" s="33" t="n">
        <f aca="false">SUM(F106:H106)</f>
        <v>30726.49</v>
      </c>
      <c r="H106" s="33" t="n">
        <f aca="false">'Apartments 33-48'!D22</f>
        <v>30726.49</v>
      </c>
    </row>
    <row r="107" customFormat="false" ht="15" hidden="false" customHeight="false" outlineLevel="0" collapsed="false">
      <c r="B107" s="11" t="s">
        <v>120</v>
      </c>
      <c r="D107" s="34" t="n">
        <f aca="false">SUM(D101:D106)</f>
        <v>493449.3</v>
      </c>
      <c r="F107" s="34" t="n">
        <f aca="false">SUM(F101:F106)</f>
        <v>126548.46</v>
      </c>
      <c r="H107" s="34" t="n">
        <f aca="false">SUM(H101:H106)</f>
        <v>366900.84</v>
      </c>
    </row>
    <row r="108" customFormat="false" ht="15" hidden="false" customHeight="false" outlineLevel="0" collapsed="false">
      <c r="B108" s="16" t="s">
        <v>121</v>
      </c>
      <c r="D108" s="17" t="n">
        <f aca="false">D107-D96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163</v>
      </c>
    </row>
    <row r="5" customFormat="false" ht="15" hidden="false" customHeight="false" outlineLevel="0" collapsed="false">
      <c r="A5" s="16" t="s">
        <v>66</v>
      </c>
    </row>
    <row r="7" customFormat="false" ht="15" hidden="false" customHeight="false" outlineLevel="0" collapsed="false">
      <c r="A7" s="10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79</v>
      </c>
      <c r="L9" s="4" t="s">
        <v>80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15</v>
      </c>
      <c r="D10" s="24" t="n">
        <v>389188.67</v>
      </c>
      <c r="E10" s="24" t="n">
        <v>0</v>
      </c>
      <c r="F10" s="24" t="n">
        <v>0</v>
      </c>
      <c r="G10" s="24" t="n">
        <v>106731.69</v>
      </c>
      <c r="H10" s="24" t="n">
        <v>14152.27</v>
      </c>
      <c r="I10" s="24" t="n">
        <f aca="false">G10+H10</f>
        <v>120883.96</v>
      </c>
      <c r="J10" s="24" t="n">
        <f aca="false">D10-I10</f>
        <v>268304.71</v>
      </c>
      <c r="K10" s="25" t="s">
        <v>81</v>
      </c>
      <c r="L10" s="25" t="s">
        <v>82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15</v>
      </c>
      <c r="D11" s="24" t="n">
        <v>48291.12</v>
      </c>
      <c r="E11" s="24" t="n">
        <v>0</v>
      </c>
      <c r="F11" s="24" t="n">
        <v>0</v>
      </c>
      <c r="G11" s="24" t="n">
        <v>48291.12</v>
      </c>
      <c r="H11" s="24" t="n">
        <v>0</v>
      </c>
      <c r="I11" s="24" t="n">
        <f aca="false">G11+H11</f>
        <v>48291.12</v>
      </c>
      <c r="J11" s="24" t="n">
        <f aca="false">D11-I11</f>
        <v>0</v>
      </c>
      <c r="K11" s="25" t="s">
        <v>83</v>
      </c>
      <c r="L11" s="25" t="s">
        <v>84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15</v>
      </c>
      <c r="D12" s="24" t="n">
        <v>39985.86</v>
      </c>
      <c r="E12" s="24" t="n">
        <v>0</v>
      </c>
      <c r="F12" s="24" t="n">
        <v>0</v>
      </c>
      <c r="G12" s="24" t="n">
        <v>19817.9</v>
      </c>
      <c r="H12" s="24" t="n">
        <v>2361.05</v>
      </c>
      <c r="I12" s="24" t="n">
        <f aca="false">G12+H12</f>
        <v>22178.95</v>
      </c>
      <c r="J12" s="24" t="n">
        <f aca="false">D12-I12</f>
        <v>17806.91</v>
      </c>
      <c r="K12" s="25" t="s">
        <v>85</v>
      </c>
      <c r="L12" s="25" t="s">
        <v>86</v>
      </c>
    </row>
    <row r="13" customFormat="false" ht="15" hidden="false" customHeight="false" outlineLevel="0" collapsed="false">
      <c r="A13" s="26"/>
      <c r="B13" s="27" t="s">
        <v>28</v>
      </c>
      <c r="C13" s="26"/>
      <c r="D13" s="28" t="n">
        <f aca="false">SUM(D10:D12)</f>
        <v>477465.65</v>
      </c>
      <c r="E13" s="28" t="n">
        <f aca="false">SUM(E10:E12)</f>
        <v>0</v>
      </c>
      <c r="F13" s="28" t="n">
        <f aca="false">SUM(F10:F12)</f>
        <v>0</v>
      </c>
      <c r="G13" s="28" t="n">
        <f aca="false">SUM(G10:G12)</f>
        <v>174840.71</v>
      </c>
      <c r="H13" s="28" t="n">
        <f aca="false">SUM(H10:H12)</f>
        <v>16513.32</v>
      </c>
      <c r="I13" s="28" t="n">
        <f aca="false">SUM(I10:I12)</f>
        <v>191354.03</v>
      </c>
      <c r="J13" s="28" t="n">
        <f aca="false">SUM(J10:J12)</f>
        <v>286111.62</v>
      </c>
      <c r="K13" s="26"/>
      <c r="L13" s="26"/>
    </row>
    <row r="15" customFormat="false" ht="15" hidden="false" customHeight="false" outlineLevel="0" collapsed="false">
      <c r="A15" s="21" t="s">
        <v>87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4" t="s">
        <v>75</v>
      </c>
      <c r="H16" s="4" t="s">
        <v>76</v>
      </c>
      <c r="I16" s="4" t="s">
        <v>77</v>
      </c>
      <c r="J16" s="4" t="s">
        <v>78</v>
      </c>
      <c r="K16" s="4" t="s">
        <v>79</v>
      </c>
      <c r="L16" s="4" t="s">
        <v>80</v>
      </c>
    </row>
    <row r="17" customFormat="false" ht="15" hidden="false" customHeight="false" outlineLevel="0" collapsed="false">
      <c r="A17" s="23" t="n">
        <v>1</v>
      </c>
      <c r="B17" s="23" t="s">
        <v>36</v>
      </c>
      <c r="C17" s="23" t="s">
        <v>15</v>
      </c>
      <c r="D17" s="24" t="n">
        <v>99963.17</v>
      </c>
      <c r="E17" s="24" t="n">
        <v>0</v>
      </c>
      <c r="F17" s="24" t="n">
        <v>0</v>
      </c>
      <c r="G17" s="24" t="n">
        <v>99963.17</v>
      </c>
      <c r="H17" s="24" t="n">
        <v>0</v>
      </c>
      <c r="I17" s="24" t="n">
        <f aca="false">G17+H17</f>
        <v>99963.17</v>
      </c>
      <c r="J17" s="24" t="n">
        <f aca="false">D17-I17</f>
        <v>0</v>
      </c>
      <c r="K17" s="25" t="s">
        <v>83</v>
      </c>
      <c r="L17" s="25" t="s">
        <v>84</v>
      </c>
    </row>
    <row r="18" customFormat="false" ht="15" hidden="false" customHeight="false" outlineLevel="0" collapsed="false">
      <c r="A18" s="23" t="n">
        <v>2</v>
      </c>
      <c r="B18" s="23" t="s">
        <v>37</v>
      </c>
      <c r="C18" s="23" t="s">
        <v>15</v>
      </c>
      <c r="D18" s="24" t="n">
        <v>289225.5</v>
      </c>
      <c r="E18" s="24" t="n">
        <v>0</v>
      </c>
      <c r="F18" s="24" t="n">
        <v>0</v>
      </c>
      <c r="G18" s="24" t="n">
        <v>106742.11</v>
      </c>
      <c r="H18" s="24" t="n">
        <v>10517.29</v>
      </c>
      <c r="I18" s="24" t="n">
        <f aca="false">G18+H18</f>
        <v>117259.4</v>
      </c>
      <c r="J18" s="24" t="n">
        <f aca="false">D18-I18</f>
        <v>171966.1</v>
      </c>
      <c r="K18" s="25" t="s">
        <v>81</v>
      </c>
      <c r="L18" s="25" t="s">
        <v>82</v>
      </c>
    </row>
    <row r="19" customFormat="false" ht="15" hidden="false" customHeight="false" outlineLevel="0" collapsed="false">
      <c r="A19" s="23" t="n">
        <v>3</v>
      </c>
      <c r="B19" s="23" t="s">
        <v>38</v>
      </c>
      <c r="C19" s="23" t="s">
        <v>15</v>
      </c>
      <c r="D19" s="24" t="n">
        <v>12403.58</v>
      </c>
      <c r="E19" s="24" t="n">
        <v>0</v>
      </c>
      <c r="F19" s="24" t="n">
        <v>0</v>
      </c>
      <c r="G19" s="24" t="n">
        <v>12403.58</v>
      </c>
      <c r="H19" s="24" t="n">
        <v>0</v>
      </c>
      <c r="I19" s="24" t="n">
        <f aca="false">G19+H19</f>
        <v>12403.58</v>
      </c>
      <c r="J19" s="24" t="n">
        <f aca="false">D19-I19</f>
        <v>0</v>
      </c>
      <c r="K19" s="25" t="s">
        <v>83</v>
      </c>
      <c r="L19" s="25" t="s">
        <v>84</v>
      </c>
    </row>
    <row r="20" customFormat="false" ht="15" hidden="false" customHeight="false" outlineLevel="0" collapsed="false">
      <c r="A20" s="23" t="n">
        <v>4</v>
      </c>
      <c r="B20" s="23" t="s">
        <v>39</v>
      </c>
      <c r="C20" s="23" t="s">
        <v>15</v>
      </c>
      <c r="D20" s="24" t="n">
        <v>35887.54</v>
      </c>
      <c r="E20" s="24" t="n">
        <v>0</v>
      </c>
      <c r="F20" s="24" t="n">
        <v>0</v>
      </c>
      <c r="G20" s="24" t="n">
        <v>9841.88</v>
      </c>
      <c r="H20" s="24" t="n">
        <v>1305</v>
      </c>
      <c r="I20" s="24" t="n">
        <f aca="false">G20+H20</f>
        <v>11146.88</v>
      </c>
      <c r="J20" s="24" t="n">
        <f aca="false">D20-I20</f>
        <v>24740.66</v>
      </c>
      <c r="K20" s="25" t="s">
        <v>81</v>
      </c>
      <c r="L20" s="25" t="s">
        <v>82</v>
      </c>
    </row>
    <row r="21" customFormat="false" ht="15" hidden="false" customHeight="false" outlineLevel="0" collapsed="false">
      <c r="A21" s="23" t="n">
        <v>5</v>
      </c>
      <c r="B21" s="23" t="s">
        <v>40</v>
      </c>
      <c r="C21" s="23" t="s">
        <v>15</v>
      </c>
      <c r="D21" s="24" t="n">
        <v>10270.37</v>
      </c>
      <c r="E21" s="24" t="n">
        <v>0</v>
      </c>
      <c r="F21" s="24" t="n">
        <v>0</v>
      </c>
      <c r="G21" s="24" t="n">
        <v>10270.37</v>
      </c>
      <c r="H21" s="24" t="n">
        <v>0</v>
      </c>
      <c r="I21" s="24" t="n">
        <f aca="false">G21+H21</f>
        <v>10270.37</v>
      </c>
      <c r="J21" s="24" t="n">
        <f aca="false">D21-I21</f>
        <v>0</v>
      </c>
      <c r="K21" s="25" t="s">
        <v>83</v>
      </c>
      <c r="L21" s="25" t="s">
        <v>84</v>
      </c>
    </row>
    <row r="22" customFormat="false" ht="15" hidden="false" customHeight="false" outlineLevel="0" collapsed="false">
      <c r="A22" s="23" t="n">
        <v>6</v>
      </c>
      <c r="B22" s="23" t="s">
        <v>41</v>
      </c>
      <c r="C22" s="23" t="s">
        <v>15</v>
      </c>
      <c r="D22" s="24" t="n">
        <v>29715.49</v>
      </c>
      <c r="E22" s="24" t="n">
        <v>0</v>
      </c>
      <c r="F22" s="24" t="n">
        <v>0</v>
      </c>
      <c r="G22" s="24" t="n">
        <v>8149.23</v>
      </c>
      <c r="H22" s="24" t="n">
        <v>1080.56</v>
      </c>
      <c r="I22" s="24" t="n">
        <f aca="false">G22+H22</f>
        <v>9229.79</v>
      </c>
      <c r="J22" s="24" t="n">
        <f aca="false">D22-I22</f>
        <v>20485.7</v>
      </c>
      <c r="K22" s="25" t="s">
        <v>81</v>
      </c>
      <c r="L22" s="25" t="s">
        <v>82</v>
      </c>
    </row>
    <row r="23" customFormat="false" ht="15" hidden="false" customHeight="false" outlineLevel="0" collapsed="false">
      <c r="A23" s="26"/>
      <c r="B23" s="27" t="s">
        <v>28</v>
      </c>
      <c r="C23" s="26"/>
      <c r="D23" s="28" t="n">
        <f aca="false">SUM(D17:D22)</f>
        <v>477465.65</v>
      </c>
      <c r="E23" s="28" t="n">
        <f aca="false">SUM(E17:E22)</f>
        <v>0</v>
      </c>
      <c r="F23" s="28" t="n">
        <f aca="false">SUM(F17:F22)</f>
        <v>0</v>
      </c>
      <c r="G23" s="28" t="n">
        <f aca="false">SUM(G17:G22)</f>
        <v>247370.34</v>
      </c>
      <c r="H23" s="28" t="n">
        <f aca="false">SUM(H17:H22)</f>
        <v>12902.85</v>
      </c>
      <c r="I23" s="28" t="n">
        <f aca="false">SUM(I17:I22)</f>
        <v>260273.19</v>
      </c>
      <c r="J23" s="28" t="n">
        <f aca="false">SUM(J17:J22)</f>
        <v>217192.46</v>
      </c>
      <c r="K23" s="26"/>
      <c r="L23" s="26"/>
    </row>
    <row r="25" customFormat="false" ht="15" hidden="false" customHeight="false" outlineLevel="0" collapsed="false">
      <c r="B25" s="18" t="s">
        <v>88</v>
      </c>
    </row>
    <row r="26" customFormat="false" ht="15" hidden="false" customHeight="false" outlineLevel="0" collapsed="false">
      <c r="B26" s="5" t="s">
        <v>89</v>
      </c>
      <c r="D26" s="6" t="n">
        <f aca="false">I13</f>
        <v>191354.03</v>
      </c>
    </row>
    <row r="27" customFormat="false" ht="15" hidden="false" customHeight="false" outlineLevel="0" collapsed="false">
      <c r="B27" s="5" t="s">
        <v>90</v>
      </c>
      <c r="D27" s="6" t="n">
        <f aca="false">I23</f>
        <v>260273.19</v>
      </c>
    </row>
    <row r="28" customFormat="false" ht="15" hidden="false" customHeight="false" outlineLevel="0" collapsed="false">
      <c r="B28" s="11" t="s">
        <v>88</v>
      </c>
      <c r="D28" s="29" t="n">
        <f aca="false">D26-D27</f>
        <v>-68919.16</v>
      </c>
    </row>
    <row r="30" customFormat="false" ht="15" hidden="false" customHeight="false" outlineLevel="0" collapsed="false">
      <c r="A30" s="10" t="s">
        <v>91</v>
      </c>
    </row>
    <row r="31" customFormat="false" ht="15" hidden="false" customHeight="false" outlineLevel="0" collapsed="false">
      <c r="A31" s="21" t="s">
        <v>92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69</v>
      </c>
      <c r="B32" s="4" t="s">
        <v>70</v>
      </c>
      <c r="C32" s="4" t="s">
        <v>71</v>
      </c>
      <c r="D32" s="4" t="s">
        <v>72</v>
      </c>
      <c r="E32" s="4" t="s">
        <v>73</v>
      </c>
      <c r="F32" s="4" t="s">
        <v>74</v>
      </c>
      <c r="G32" s="4" t="s">
        <v>93</v>
      </c>
      <c r="H32" s="4" t="s">
        <v>94</v>
      </c>
      <c r="I32" s="4" t="s">
        <v>77</v>
      </c>
      <c r="J32" s="4" t="s">
        <v>78</v>
      </c>
      <c r="K32" s="4" t="s">
        <v>79</v>
      </c>
      <c r="L32" s="4" t="s">
        <v>80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15</v>
      </c>
      <c r="D33" s="24" t="n">
        <v>389188.67</v>
      </c>
      <c r="E33" s="24" t="n">
        <v>0</v>
      </c>
      <c r="F33" s="24" t="n">
        <v>0</v>
      </c>
      <c r="G33" s="24" t="n">
        <v>106731.69</v>
      </c>
      <c r="H33" s="24" t="n">
        <v>14152.27</v>
      </c>
      <c r="I33" s="24" t="n">
        <f aca="false">G33+H33</f>
        <v>120883.96</v>
      </c>
      <c r="J33" s="24" t="n">
        <f aca="false">D33-I33</f>
        <v>268304.71</v>
      </c>
      <c r="K33" s="25" t="s">
        <v>81</v>
      </c>
      <c r="L33" s="25" t="s">
        <v>82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15</v>
      </c>
      <c r="D34" s="24" t="n">
        <v>48291.12</v>
      </c>
      <c r="E34" s="24" t="n">
        <v>0</v>
      </c>
      <c r="F34" s="24" t="n">
        <v>0</v>
      </c>
      <c r="G34" s="24" t="n">
        <v>48291.12</v>
      </c>
      <c r="H34" s="24" t="n">
        <v>0</v>
      </c>
      <c r="I34" s="24" t="n">
        <f aca="false">G34+H34</f>
        <v>48291.12</v>
      </c>
      <c r="J34" s="24" t="n">
        <f aca="false">D34-I34</f>
        <v>0</v>
      </c>
      <c r="K34" s="25" t="s">
        <v>83</v>
      </c>
      <c r="L34" s="25" t="s">
        <v>84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15</v>
      </c>
      <c r="D35" s="24" t="n">
        <v>39985.86</v>
      </c>
      <c r="E35" s="24" t="n">
        <v>0</v>
      </c>
      <c r="F35" s="24" t="n">
        <v>0</v>
      </c>
      <c r="G35" s="24" t="n">
        <v>19817.9</v>
      </c>
      <c r="H35" s="24" t="n">
        <v>2361.05</v>
      </c>
      <c r="I35" s="24" t="n">
        <f aca="false">G35+H35</f>
        <v>22178.95</v>
      </c>
      <c r="J35" s="24" t="n">
        <f aca="false">D35-I35</f>
        <v>17806.91</v>
      </c>
      <c r="K35" s="25" t="s">
        <v>85</v>
      </c>
      <c r="L35" s="25" t="s">
        <v>86</v>
      </c>
    </row>
    <row r="36" customFormat="false" ht="15" hidden="false" customHeight="false" outlineLevel="0" collapsed="false">
      <c r="A36" s="26"/>
      <c r="B36" s="27" t="s">
        <v>28</v>
      </c>
      <c r="C36" s="26"/>
      <c r="D36" s="28" t="n">
        <f aca="false">SUM(D33:D35)</f>
        <v>477465.65</v>
      </c>
      <c r="E36" s="28" t="n">
        <f aca="false">SUM(E33:E35)</f>
        <v>0</v>
      </c>
      <c r="F36" s="28" t="n">
        <f aca="false">SUM(F33:F35)</f>
        <v>0</v>
      </c>
      <c r="G36" s="28" t="n">
        <f aca="false">SUM(G33:G35)</f>
        <v>174840.71</v>
      </c>
      <c r="H36" s="28" t="n">
        <f aca="false">SUM(H33:H35)</f>
        <v>16513.32</v>
      </c>
      <c r="I36" s="28" t="n">
        <f aca="false">SUM(I33:I35)</f>
        <v>191354.03</v>
      </c>
      <c r="J36" s="28" t="n">
        <f aca="false">SUM(J33:J35)</f>
        <v>286111.62</v>
      </c>
      <c r="K36" s="26"/>
      <c r="L36" s="26"/>
    </row>
    <row r="38" customFormat="false" ht="15" hidden="false" customHeight="false" outlineLevel="0" collapsed="false">
      <c r="A38" s="21" t="s">
        <v>95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69</v>
      </c>
      <c r="B39" s="4" t="s">
        <v>70</v>
      </c>
      <c r="C39" s="4" t="s">
        <v>71</v>
      </c>
      <c r="D39" s="4" t="s">
        <v>72</v>
      </c>
      <c r="E39" s="4" t="s">
        <v>73</v>
      </c>
      <c r="F39" s="4" t="s">
        <v>74</v>
      </c>
      <c r="G39" s="4" t="s">
        <v>93</v>
      </c>
      <c r="H39" s="4" t="s">
        <v>94</v>
      </c>
      <c r="I39" s="4" t="s">
        <v>77</v>
      </c>
      <c r="J39" s="4" t="s">
        <v>78</v>
      </c>
      <c r="K39" s="4" t="s">
        <v>79</v>
      </c>
      <c r="L39" s="4" t="s">
        <v>80</v>
      </c>
    </row>
    <row r="40" customFormat="false" ht="15" hidden="false" customHeight="false" outlineLevel="0" collapsed="false">
      <c r="A40" s="23" t="n">
        <v>1</v>
      </c>
      <c r="B40" s="23" t="s">
        <v>36</v>
      </c>
      <c r="C40" s="23" t="s">
        <v>15</v>
      </c>
      <c r="D40" s="24" t="n">
        <v>99963.17</v>
      </c>
      <c r="E40" s="24" t="n">
        <v>0</v>
      </c>
      <c r="F40" s="24" t="n">
        <v>0</v>
      </c>
      <c r="G40" s="24" t="n">
        <v>99963.17</v>
      </c>
      <c r="H40" s="24" t="n">
        <v>0</v>
      </c>
      <c r="I40" s="24" t="n">
        <f aca="false">G40+H40</f>
        <v>99963.17</v>
      </c>
      <c r="J40" s="24" t="n">
        <f aca="false">D40-I40</f>
        <v>0</v>
      </c>
      <c r="K40" s="25" t="s">
        <v>83</v>
      </c>
      <c r="L40" s="25" t="s">
        <v>84</v>
      </c>
    </row>
    <row r="41" customFormat="false" ht="15" hidden="false" customHeight="false" outlineLevel="0" collapsed="false">
      <c r="A41" s="23" t="n">
        <v>2</v>
      </c>
      <c r="B41" s="23" t="s">
        <v>37</v>
      </c>
      <c r="C41" s="23" t="s">
        <v>15</v>
      </c>
      <c r="D41" s="24" t="n">
        <v>289225.5</v>
      </c>
      <c r="E41" s="24" t="n">
        <v>0</v>
      </c>
      <c r="F41" s="24" t="n">
        <v>0</v>
      </c>
      <c r="G41" s="24" t="n">
        <v>106742.11</v>
      </c>
      <c r="H41" s="24" t="n">
        <v>10517.29</v>
      </c>
      <c r="I41" s="24" t="n">
        <f aca="false">G41+H41</f>
        <v>117259.4</v>
      </c>
      <c r="J41" s="24" t="n">
        <f aca="false">D41-I41</f>
        <v>171966.1</v>
      </c>
      <c r="K41" s="25" t="s">
        <v>81</v>
      </c>
      <c r="L41" s="25" t="s">
        <v>82</v>
      </c>
    </row>
    <row r="42" customFormat="false" ht="15" hidden="false" customHeight="false" outlineLevel="0" collapsed="false">
      <c r="A42" s="23" t="n">
        <v>3</v>
      </c>
      <c r="B42" s="23" t="s">
        <v>38</v>
      </c>
      <c r="C42" s="23" t="s">
        <v>15</v>
      </c>
      <c r="D42" s="24" t="n">
        <v>12403.58</v>
      </c>
      <c r="E42" s="24" t="n">
        <v>0</v>
      </c>
      <c r="F42" s="24" t="n">
        <v>0</v>
      </c>
      <c r="G42" s="24" t="n">
        <v>12403.58</v>
      </c>
      <c r="H42" s="24" t="n">
        <v>0</v>
      </c>
      <c r="I42" s="24" t="n">
        <f aca="false">G42+H42</f>
        <v>12403.58</v>
      </c>
      <c r="J42" s="24" t="n">
        <f aca="false">D42-I42</f>
        <v>0</v>
      </c>
      <c r="K42" s="25" t="s">
        <v>83</v>
      </c>
      <c r="L42" s="25" t="s">
        <v>84</v>
      </c>
    </row>
    <row r="43" customFormat="false" ht="15" hidden="false" customHeight="false" outlineLevel="0" collapsed="false">
      <c r="A43" s="23" t="n">
        <v>4</v>
      </c>
      <c r="B43" s="23" t="s">
        <v>39</v>
      </c>
      <c r="C43" s="23" t="s">
        <v>15</v>
      </c>
      <c r="D43" s="24" t="n">
        <v>35887.54</v>
      </c>
      <c r="E43" s="24" t="n">
        <v>0</v>
      </c>
      <c r="F43" s="24" t="n">
        <v>0</v>
      </c>
      <c r="G43" s="24" t="n">
        <v>9841.88</v>
      </c>
      <c r="H43" s="24" t="n">
        <v>1305</v>
      </c>
      <c r="I43" s="24" t="n">
        <f aca="false">G43+H43</f>
        <v>11146.88</v>
      </c>
      <c r="J43" s="24" t="n">
        <f aca="false">D43-I43</f>
        <v>24740.66</v>
      </c>
      <c r="K43" s="25" t="s">
        <v>81</v>
      </c>
      <c r="L43" s="25" t="s">
        <v>82</v>
      </c>
    </row>
    <row r="44" customFormat="false" ht="15" hidden="false" customHeight="false" outlineLevel="0" collapsed="false">
      <c r="A44" s="23" t="n">
        <v>5</v>
      </c>
      <c r="B44" s="23" t="s">
        <v>40</v>
      </c>
      <c r="C44" s="23" t="s">
        <v>15</v>
      </c>
      <c r="D44" s="24" t="n">
        <v>10270.37</v>
      </c>
      <c r="E44" s="24" t="n">
        <v>0</v>
      </c>
      <c r="F44" s="24" t="n">
        <v>0</v>
      </c>
      <c r="G44" s="24" t="n">
        <v>10270.37</v>
      </c>
      <c r="H44" s="24" t="n">
        <v>0</v>
      </c>
      <c r="I44" s="24" t="n">
        <f aca="false">G44+H44</f>
        <v>10270.37</v>
      </c>
      <c r="J44" s="24" t="n">
        <f aca="false">D44-I44</f>
        <v>0</v>
      </c>
      <c r="K44" s="25" t="s">
        <v>83</v>
      </c>
      <c r="L44" s="25" t="s">
        <v>84</v>
      </c>
    </row>
    <row r="45" customFormat="false" ht="15" hidden="false" customHeight="false" outlineLevel="0" collapsed="false">
      <c r="A45" s="23" t="n">
        <v>6</v>
      </c>
      <c r="B45" s="23" t="s">
        <v>41</v>
      </c>
      <c r="C45" s="23" t="s">
        <v>15</v>
      </c>
      <c r="D45" s="24" t="n">
        <v>29715.49</v>
      </c>
      <c r="E45" s="24" t="n">
        <v>0</v>
      </c>
      <c r="F45" s="24" t="n">
        <v>0</v>
      </c>
      <c r="G45" s="24" t="n">
        <v>8149.23</v>
      </c>
      <c r="H45" s="24" t="n">
        <v>1080.56</v>
      </c>
      <c r="I45" s="24" t="n">
        <f aca="false">G45+H45</f>
        <v>9229.79</v>
      </c>
      <c r="J45" s="24" t="n">
        <f aca="false">D45-I45</f>
        <v>20485.7</v>
      </c>
      <c r="K45" s="25" t="s">
        <v>81</v>
      </c>
      <c r="L45" s="25" t="s">
        <v>82</v>
      </c>
    </row>
    <row r="46" customFormat="false" ht="15" hidden="false" customHeight="false" outlineLevel="0" collapsed="false">
      <c r="A46" s="26"/>
      <c r="B46" s="27" t="s">
        <v>28</v>
      </c>
      <c r="C46" s="26"/>
      <c r="D46" s="28" t="n">
        <f aca="false">SUM(D40:D45)</f>
        <v>477465.65</v>
      </c>
      <c r="E46" s="28" t="n">
        <f aca="false">SUM(E40:E45)</f>
        <v>0</v>
      </c>
      <c r="F46" s="28" t="n">
        <f aca="false">SUM(F40:F45)</f>
        <v>0</v>
      </c>
      <c r="G46" s="28" t="n">
        <f aca="false">SUM(G40:G45)</f>
        <v>247370.34</v>
      </c>
      <c r="H46" s="28" t="n">
        <f aca="false">SUM(H40:H45)</f>
        <v>12902.85</v>
      </c>
      <c r="I46" s="28" t="n">
        <f aca="false">SUM(I40:I45)</f>
        <v>260273.19</v>
      </c>
      <c r="J46" s="28" t="n">
        <f aca="false">SUM(J40:J45)</f>
        <v>217192.46</v>
      </c>
      <c r="K46" s="26"/>
      <c r="L46" s="26"/>
    </row>
    <row r="48" customFormat="false" ht="15" hidden="false" customHeight="false" outlineLevel="0" collapsed="false">
      <c r="B48" s="18" t="s">
        <v>96</v>
      </c>
    </row>
    <row r="49" customFormat="false" ht="15" hidden="false" customHeight="false" outlineLevel="0" collapsed="false">
      <c r="B49" s="5" t="s">
        <v>89</v>
      </c>
      <c r="D49" s="6" t="n">
        <f aca="false">I36</f>
        <v>191354.03</v>
      </c>
    </row>
    <row r="50" customFormat="false" ht="15" hidden="false" customHeight="false" outlineLevel="0" collapsed="false">
      <c r="B50" s="5" t="s">
        <v>90</v>
      </c>
      <c r="D50" s="6" t="n">
        <f aca="false">I46</f>
        <v>260273.19</v>
      </c>
    </row>
    <row r="51" customFormat="false" ht="15" hidden="false" customHeight="false" outlineLevel="0" collapsed="false">
      <c r="B51" s="11" t="s">
        <v>96</v>
      </c>
      <c r="D51" s="29" t="n">
        <f aca="false">D49-D50</f>
        <v>-68919.16</v>
      </c>
    </row>
    <row r="53" customFormat="false" ht="15" hidden="false" customHeight="false" outlineLevel="0" collapsed="false">
      <c r="A53" s="10" t="s">
        <v>97</v>
      </c>
    </row>
    <row r="54" customFormat="false" ht="15" hidden="false" customHeight="false" outlineLevel="0" collapsed="false">
      <c r="B54" s="11" t="s">
        <v>123</v>
      </c>
      <c r="D54" s="12" t="n">
        <f aca="false">D95</f>
        <v>477465.65</v>
      </c>
    </row>
    <row r="55" customFormat="false" ht="15" hidden="false" customHeight="false" outlineLevel="0" collapsed="false">
      <c r="B55" s="5" t="s">
        <v>124</v>
      </c>
      <c r="D55" s="6" t="n">
        <f aca="false">F95</f>
        <v>122637.12</v>
      </c>
    </row>
    <row r="56" customFormat="false" ht="15" hidden="false" customHeight="false" outlineLevel="0" collapsed="false">
      <c r="B56" s="30" t="s">
        <v>100</v>
      </c>
      <c r="D56" s="31" t="n">
        <f aca="false">F96</f>
        <v>0.256850141994508</v>
      </c>
    </row>
    <row r="57" customFormat="false" ht="15" hidden="false" customHeight="false" outlineLevel="0" collapsed="false">
      <c r="B57" s="5" t="s">
        <v>125</v>
      </c>
      <c r="D57" s="6" t="n">
        <f aca="false">H95</f>
        <v>354828.53</v>
      </c>
    </row>
    <row r="58" customFormat="false" ht="15" hidden="false" customHeight="false" outlineLevel="0" collapsed="false">
      <c r="B58" s="30" t="s">
        <v>100</v>
      </c>
      <c r="D58" s="31" t="n">
        <f aca="false">H96</f>
        <v>0.743149858005492</v>
      </c>
    </row>
    <row r="60" customFormat="false" ht="15" hidden="false" customHeight="false" outlineLevel="0" collapsed="false">
      <c r="A60" s="10" t="s">
        <v>102</v>
      </c>
    </row>
    <row r="61" customFormat="false" ht="15" hidden="false" customHeight="false" outlineLevel="0" collapsed="false">
      <c r="B61" s="4" t="s">
        <v>103</v>
      </c>
      <c r="D61" s="4" t="s">
        <v>72</v>
      </c>
      <c r="F61" s="4" t="s">
        <v>126</v>
      </c>
      <c r="H61" s="4" t="s">
        <v>105</v>
      </c>
    </row>
    <row r="62" customFormat="false" ht="15" hidden="false" customHeight="false" outlineLevel="0" collapsed="false">
      <c r="B62" s="32" t="s">
        <v>127</v>
      </c>
    </row>
    <row r="63" customFormat="false" ht="15" hidden="false" customHeight="false" outlineLevel="0" collapsed="false">
      <c r="B63" s="5" t="s">
        <v>128</v>
      </c>
      <c r="D63" s="33" t="n">
        <f aca="false">SUM(F63:H63)</f>
        <v>28387.8</v>
      </c>
      <c r="F63" s="33" t="n">
        <v>28387.8</v>
      </c>
    </row>
    <row r="64" customFormat="false" ht="15" hidden="false" customHeight="false" outlineLevel="0" collapsed="false">
      <c r="B64" s="5" t="s">
        <v>129</v>
      </c>
      <c r="D64" s="33" t="n">
        <f aca="false">SUM(F64:H64)</f>
        <v>5287.63</v>
      </c>
      <c r="F64" s="33" t="n">
        <v>5287.63</v>
      </c>
    </row>
    <row r="65" customFormat="false" ht="15" hidden="false" customHeight="false" outlineLevel="0" collapsed="false">
      <c r="B65" s="5" t="s">
        <v>130</v>
      </c>
      <c r="D65" s="33" t="n">
        <f aca="false">SUM(F65:H65)</f>
        <v>1395.33</v>
      </c>
      <c r="F65" s="33" t="n">
        <v>1395.33</v>
      </c>
    </row>
    <row r="66" customFormat="false" ht="15" hidden="false" customHeight="false" outlineLevel="0" collapsed="false">
      <c r="B66" s="5" t="s">
        <v>131</v>
      </c>
      <c r="D66" s="33" t="n">
        <f aca="false">SUM(F66:H66)</f>
        <v>9950.29</v>
      </c>
      <c r="F66" s="33" t="n">
        <v>9950.29</v>
      </c>
    </row>
    <row r="67" customFormat="false" ht="15" hidden="false" customHeight="false" outlineLevel="0" collapsed="false">
      <c r="B67" s="5" t="s">
        <v>132</v>
      </c>
      <c r="D67" s="33" t="n">
        <f aca="false">SUM(F67:H67)</f>
        <v>25002.18</v>
      </c>
      <c r="F67" s="33" t="n">
        <v>25002.18</v>
      </c>
    </row>
    <row r="68" customFormat="false" ht="15" hidden="false" customHeight="false" outlineLevel="0" collapsed="false">
      <c r="B68" s="5" t="s">
        <v>133</v>
      </c>
      <c r="D68" s="33" t="n">
        <f aca="false">SUM(F68:H68)</f>
        <v>2047.41</v>
      </c>
      <c r="F68" s="33" t="n">
        <v>2047.41</v>
      </c>
    </row>
    <row r="69" customFormat="false" ht="15" hidden="false" customHeight="false" outlineLevel="0" collapsed="false">
      <c r="B69" s="5" t="s">
        <v>134</v>
      </c>
      <c r="D69" s="33" t="n">
        <f aca="false">SUM(F69:H69)</f>
        <v>5849.75</v>
      </c>
      <c r="F69" s="33" t="n">
        <v>5849.75</v>
      </c>
    </row>
    <row r="70" customFormat="false" ht="15" hidden="false" customHeight="false" outlineLevel="0" collapsed="false">
      <c r="B70" s="5" t="s">
        <v>135</v>
      </c>
      <c r="D70" s="33" t="n">
        <f aca="false">SUM(F70:H70)</f>
        <v>243.74</v>
      </c>
      <c r="F70" s="33" t="n">
        <v>243.74</v>
      </c>
    </row>
    <row r="71" customFormat="false" ht="15" hidden="false" customHeight="false" outlineLevel="0" collapsed="false">
      <c r="B71" s="5" t="s">
        <v>136</v>
      </c>
      <c r="D71" s="33" t="n">
        <f aca="false">SUM(F71:H71)</f>
        <v>9386.83</v>
      </c>
      <c r="F71" s="33" t="n">
        <v>9386.83</v>
      </c>
    </row>
    <row r="72" customFormat="false" ht="15" hidden="false" customHeight="false" outlineLevel="0" collapsed="false">
      <c r="B72" s="5" t="s">
        <v>137</v>
      </c>
      <c r="D72" s="33" t="n">
        <f aca="false">SUM(F72:H72)</f>
        <v>3514.14</v>
      </c>
      <c r="F72" s="33" t="n">
        <v>3514.14</v>
      </c>
    </row>
    <row r="73" customFormat="false" ht="15" hidden="false" customHeight="false" outlineLevel="0" collapsed="false">
      <c r="B73" s="5" t="s">
        <v>138</v>
      </c>
      <c r="D73" s="33" t="n">
        <f aca="false">SUM(F73:H73)</f>
        <v>13466.48</v>
      </c>
      <c r="F73" s="33" t="n">
        <v>13466.48</v>
      </c>
    </row>
    <row r="74" customFormat="false" ht="15" hidden="false" customHeight="false" outlineLevel="0" collapsed="false">
      <c r="B74" s="5" t="s">
        <v>139</v>
      </c>
      <c r="D74" s="33" t="n">
        <f aca="false">SUM(F74:H74)</f>
        <v>947.24</v>
      </c>
      <c r="F74" s="33" t="n">
        <v>947.24</v>
      </c>
    </row>
    <row r="75" customFormat="false" ht="15" hidden="false" customHeight="false" outlineLevel="0" collapsed="false">
      <c r="B75" s="5" t="s">
        <v>140</v>
      </c>
      <c r="D75" s="33" t="n">
        <f aca="false">SUM(F75:H75)</f>
        <v>212.61</v>
      </c>
      <c r="F75" s="33" t="n">
        <v>212.61</v>
      </c>
    </row>
    <row r="76" customFormat="false" ht="15" hidden="false" customHeight="false" outlineLevel="0" collapsed="false">
      <c r="B76" s="5" t="s">
        <v>141</v>
      </c>
      <c r="D76" s="33" t="n">
        <f aca="false">SUM(F76:H76)</f>
        <v>16945.69</v>
      </c>
      <c r="F76" s="33" t="n">
        <v>16945.69</v>
      </c>
    </row>
    <row r="77" customFormat="false" ht="15" hidden="false" customHeight="false" outlineLevel="0" collapsed="false">
      <c r="B77" s="32" t="s">
        <v>142</v>
      </c>
    </row>
    <row r="78" customFormat="false" ht="15" hidden="false" customHeight="false" outlineLevel="0" collapsed="false">
      <c r="B78" s="5" t="s">
        <v>143</v>
      </c>
      <c r="D78" s="33" t="n">
        <f aca="false">SUM(F78:H78)</f>
        <v>22420.11</v>
      </c>
      <c r="H78" s="33" t="n">
        <v>22420.11</v>
      </c>
    </row>
    <row r="79" customFormat="false" ht="15" hidden="false" customHeight="false" outlineLevel="0" collapsed="false">
      <c r="B79" s="5" t="s">
        <v>144</v>
      </c>
      <c r="D79" s="33" t="n">
        <f aca="false">SUM(F79:H79)</f>
        <v>28072.36</v>
      </c>
      <c r="H79" s="33" t="n">
        <v>28072.36</v>
      </c>
    </row>
    <row r="80" customFormat="false" ht="15" hidden="false" customHeight="false" outlineLevel="0" collapsed="false">
      <c r="B80" s="5" t="s">
        <v>145</v>
      </c>
      <c r="D80" s="33" t="n">
        <f aca="false">SUM(F80:H80)</f>
        <v>15630.87</v>
      </c>
      <c r="H80" s="33" t="n">
        <v>15630.87</v>
      </c>
    </row>
    <row r="81" customFormat="false" ht="15" hidden="false" customHeight="false" outlineLevel="0" collapsed="false">
      <c r="B81" s="5" t="s">
        <v>146</v>
      </c>
      <c r="D81" s="33" t="n">
        <f aca="false">SUM(F81:H81)</f>
        <v>33364.56</v>
      </c>
      <c r="H81" s="33" t="n">
        <v>33364.56</v>
      </c>
    </row>
    <row r="82" customFormat="false" ht="15" hidden="false" customHeight="false" outlineLevel="0" collapsed="false">
      <c r="B82" s="5" t="s">
        <v>147</v>
      </c>
      <c r="D82" s="33" t="n">
        <f aca="false">SUM(F82:H82)</f>
        <v>35284.68</v>
      </c>
      <c r="H82" s="33" t="n">
        <v>35284.68</v>
      </c>
    </row>
    <row r="83" customFormat="false" ht="15" hidden="false" customHeight="false" outlineLevel="0" collapsed="false">
      <c r="B83" s="5" t="s">
        <v>148</v>
      </c>
      <c r="D83" s="33" t="n">
        <f aca="false">SUM(F83:H83)</f>
        <v>3313.81</v>
      </c>
      <c r="H83" s="33" t="n">
        <v>3313.81</v>
      </c>
    </row>
    <row r="84" customFormat="false" ht="15" hidden="false" customHeight="false" outlineLevel="0" collapsed="false">
      <c r="B84" s="5" t="s">
        <v>149</v>
      </c>
      <c r="D84" s="33" t="n">
        <f aca="false">SUM(F84:H84)</f>
        <v>16546.13</v>
      </c>
      <c r="H84" s="33" t="n">
        <v>16546.13</v>
      </c>
    </row>
    <row r="85" customFormat="false" ht="15" hidden="false" customHeight="false" outlineLevel="0" collapsed="false">
      <c r="B85" s="5" t="s">
        <v>150</v>
      </c>
      <c r="D85" s="33" t="n">
        <f aca="false">SUM(F85:H85)</f>
        <v>22380.23</v>
      </c>
      <c r="H85" s="33" t="n">
        <v>22380.23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17270.68</v>
      </c>
      <c r="H86" s="33" t="n">
        <v>17270.68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18558.31</v>
      </c>
      <c r="H87" s="33" t="n">
        <v>18558.31</v>
      </c>
    </row>
    <row r="88" customFormat="false" ht="15" hidden="false" customHeight="false" outlineLevel="0" collapsed="false">
      <c r="B88" s="5" t="s">
        <v>153</v>
      </c>
      <c r="D88" s="33" t="n">
        <f aca="false">SUM(F88:H88)</f>
        <v>42251.16</v>
      </c>
      <c r="H88" s="33" t="n">
        <v>42251.16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20566.05</v>
      </c>
      <c r="H89" s="33" t="n">
        <v>20566.05</v>
      </c>
    </row>
    <row r="90" customFormat="false" ht="15" hidden="false" customHeight="false" outlineLevel="0" collapsed="false">
      <c r="B90" s="5" t="s">
        <v>155</v>
      </c>
      <c r="D90" s="33" t="n">
        <f aca="false">SUM(F90:H90)</f>
        <v>2242.07</v>
      </c>
      <c r="H90" s="33" t="n">
        <v>2242.07</v>
      </c>
    </row>
    <row r="91" customFormat="false" ht="15" hidden="false" customHeight="false" outlineLevel="0" collapsed="false">
      <c r="B91" s="5" t="s">
        <v>156</v>
      </c>
      <c r="D91" s="33" t="n">
        <f aca="false">SUM(F91:H91)</f>
        <v>54791.16</v>
      </c>
      <c r="H91" s="33" t="n">
        <v>54791.16</v>
      </c>
    </row>
    <row r="92" customFormat="false" ht="15" hidden="false" customHeight="false" outlineLevel="0" collapsed="false">
      <c r="B92" s="5" t="s">
        <v>157</v>
      </c>
      <c r="D92" s="33" t="n">
        <f aca="false">SUM(F92:H92)</f>
        <v>7945.49</v>
      </c>
      <c r="H92" s="33" t="n">
        <v>7945.49</v>
      </c>
    </row>
    <row r="93" customFormat="false" ht="15" hidden="false" customHeight="false" outlineLevel="0" collapsed="false">
      <c r="B93" s="5" t="s">
        <v>158</v>
      </c>
      <c r="D93" s="33" t="n">
        <f aca="false">SUM(F93:H93)</f>
        <v>6585.61</v>
      </c>
      <c r="H93" s="33" t="n">
        <v>6585.61</v>
      </c>
    </row>
    <row r="94" customFormat="false" ht="15" hidden="false" customHeight="false" outlineLevel="0" collapsed="false">
      <c r="B94" s="5" t="s">
        <v>159</v>
      </c>
      <c r="D94" s="33" t="n">
        <f aca="false">SUM(F94:H94)</f>
        <v>7605.25</v>
      </c>
      <c r="H94" s="33" t="n">
        <v>7605.25</v>
      </c>
    </row>
    <row r="95" customFormat="false" ht="15" hidden="false" customHeight="false" outlineLevel="0" collapsed="false">
      <c r="B95" s="11" t="s">
        <v>123</v>
      </c>
      <c r="D95" s="34" t="n">
        <f aca="false">SUM(D62:D94)</f>
        <v>477465.65</v>
      </c>
      <c r="F95" s="34" t="n">
        <f aca="false">SUM(F62:F94)</f>
        <v>122637.12</v>
      </c>
      <c r="H95" s="34" t="n">
        <f aca="false">SUM(H62:H94)</f>
        <v>354828.53</v>
      </c>
    </row>
    <row r="96" customFormat="false" ht="15" hidden="false" customHeight="false" outlineLevel="0" collapsed="false">
      <c r="B96" s="30" t="s">
        <v>100</v>
      </c>
      <c r="F96" s="31" t="n">
        <f aca="false">F95/D95</f>
        <v>0.256850141994508</v>
      </c>
      <c r="H96" s="31" t="n">
        <f aca="false">H95/D95</f>
        <v>0.743149858005492</v>
      </c>
    </row>
    <row r="98" customFormat="false" ht="15" hidden="false" customHeight="false" outlineLevel="0" collapsed="false">
      <c r="A98" s="10" t="s">
        <v>118</v>
      </c>
    </row>
    <row r="99" customFormat="false" ht="15" hidden="false" customHeight="false" outlineLevel="0" collapsed="false">
      <c r="B99" s="4" t="s">
        <v>119</v>
      </c>
      <c r="D99" s="4" t="s">
        <v>72</v>
      </c>
      <c r="F99" s="4" t="s">
        <v>126</v>
      </c>
      <c r="H99" s="4" t="s">
        <v>105</v>
      </c>
    </row>
    <row r="100" customFormat="false" ht="15" hidden="false" customHeight="false" outlineLevel="0" collapsed="false">
      <c r="B100" s="5" t="str">
        <f aca="false">'Apartments 49-64'!B17</f>
        <v>2 - Building - apt - 5yr</v>
      </c>
      <c r="D100" s="33" t="n">
        <f aca="false">SUM(F100:H100)</f>
        <v>99963.17</v>
      </c>
      <c r="F100" s="33" t="n">
        <f aca="false">'Apartments 49-64'!D17</f>
        <v>99963.17</v>
      </c>
    </row>
    <row r="101" customFormat="false" ht="15" hidden="false" customHeight="false" outlineLevel="0" collapsed="false">
      <c r="B101" s="5" t="str">
        <f aca="false">'Apartments 49-64'!B18</f>
        <v>2 - Building - apt - 27.5yr</v>
      </c>
      <c r="D101" s="33" t="n">
        <f aca="false">SUM(F101:H101)</f>
        <v>289225.5</v>
      </c>
      <c r="H101" s="33" t="n">
        <f aca="false">'Apartments 49-64'!D18</f>
        <v>289225.5</v>
      </c>
    </row>
    <row r="102" customFormat="false" ht="15" hidden="false" customHeight="false" outlineLevel="0" collapsed="false">
      <c r="B102" s="5" t="str">
        <f aca="false">'Apartments 49-64'!B19</f>
        <v>4 - Equipment - apt - 5yr</v>
      </c>
      <c r="D102" s="33" t="n">
        <f aca="false">SUM(F102:H102)</f>
        <v>12403.58</v>
      </c>
      <c r="F102" s="33" t="n">
        <f aca="false">'Apartments 49-64'!D19</f>
        <v>12403.58</v>
      </c>
    </row>
    <row r="103" customFormat="false" ht="15" hidden="false" customHeight="false" outlineLevel="0" collapsed="false">
      <c r="B103" s="5" t="str">
        <f aca="false">'Apartments 49-64'!B20</f>
        <v>4 - Equipment - apt - 27.5yr</v>
      </c>
      <c r="D103" s="33" t="n">
        <f aca="false">SUM(F103:H103)</f>
        <v>35887.54</v>
      </c>
      <c r="H103" s="33" t="n">
        <f aca="false">'Apartments 49-64'!D20</f>
        <v>35887.54</v>
      </c>
    </row>
    <row r="104" customFormat="false" ht="15" hidden="false" customHeight="false" outlineLevel="0" collapsed="false">
      <c r="B104" s="5" t="str">
        <f aca="false">'Apartments 49-64'!B21</f>
        <v>5 - Land Improvements - apt - 5yr</v>
      </c>
      <c r="D104" s="33" t="n">
        <f aca="false">SUM(F104:H104)</f>
        <v>10270.37</v>
      </c>
      <c r="F104" s="33" t="n">
        <f aca="false">'Apartments 49-64'!D21</f>
        <v>10270.37</v>
      </c>
    </row>
    <row r="105" customFormat="false" ht="15" hidden="false" customHeight="false" outlineLevel="0" collapsed="false">
      <c r="B105" s="5" t="str">
        <f aca="false">'Apartments 49-64'!B22</f>
        <v>5 - Land Improvements - apt - 27.5yr</v>
      </c>
      <c r="D105" s="33" t="n">
        <f aca="false">SUM(F105:H105)</f>
        <v>29715.49</v>
      </c>
      <c r="H105" s="33" t="n">
        <f aca="false">'Apartments 49-64'!D22</f>
        <v>29715.49</v>
      </c>
    </row>
    <row r="106" customFormat="false" ht="15" hidden="false" customHeight="false" outlineLevel="0" collapsed="false">
      <c r="B106" s="11" t="s">
        <v>120</v>
      </c>
      <c r="D106" s="34" t="n">
        <f aca="false">SUM(D100:D105)</f>
        <v>477465.65</v>
      </c>
      <c r="F106" s="34" t="n">
        <f aca="false">SUM(F100:F105)</f>
        <v>122637.12</v>
      </c>
      <c r="H106" s="34" t="n">
        <f aca="false">SUM(H100:H105)</f>
        <v>354828.53</v>
      </c>
    </row>
    <row r="107" customFormat="false" ht="15" hidden="false" customHeight="false" outlineLevel="0" collapsed="false">
      <c r="B107" s="16" t="s">
        <v>121</v>
      </c>
      <c r="D107" s="17" t="n">
        <f aca="false">D106-D95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164</v>
      </c>
    </row>
    <row r="5" customFormat="false" ht="15" hidden="false" customHeight="false" outlineLevel="0" collapsed="false">
      <c r="A5" s="16" t="s">
        <v>66</v>
      </c>
    </row>
    <row r="7" customFormat="false" ht="15" hidden="false" customHeight="false" outlineLevel="0" collapsed="false">
      <c r="A7" s="10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79</v>
      </c>
      <c r="L9" s="4" t="s">
        <v>80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15</v>
      </c>
      <c r="D10" s="24" t="n">
        <v>389188.67</v>
      </c>
      <c r="E10" s="24" t="n">
        <v>0</v>
      </c>
      <c r="F10" s="24" t="n">
        <v>0</v>
      </c>
      <c r="G10" s="24" t="n">
        <v>106731.69</v>
      </c>
      <c r="H10" s="24" t="n">
        <v>14152.27</v>
      </c>
      <c r="I10" s="24" t="n">
        <f aca="false">G10+H10</f>
        <v>120883.96</v>
      </c>
      <c r="J10" s="24" t="n">
        <f aca="false">D10-I10</f>
        <v>268304.71</v>
      </c>
      <c r="K10" s="25" t="s">
        <v>81</v>
      </c>
      <c r="L10" s="25" t="s">
        <v>82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15</v>
      </c>
      <c r="D11" s="24" t="n">
        <v>48291.12</v>
      </c>
      <c r="E11" s="24" t="n">
        <v>0</v>
      </c>
      <c r="F11" s="24" t="n">
        <v>0</v>
      </c>
      <c r="G11" s="24" t="n">
        <v>48291.12</v>
      </c>
      <c r="H11" s="24" t="n">
        <v>0</v>
      </c>
      <c r="I11" s="24" t="n">
        <f aca="false">G11+H11</f>
        <v>48291.12</v>
      </c>
      <c r="J11" s="24" t="n">
        <f aca="false">D11-I11</f>
        <v>0</v>
      </c>
      <c r="K11" s="25" t="s">
        <v>83</v>
      </c>
      <c r="L11" s="25" t="s">
        <v>84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15</v>
      </c>
      <c r="D12" s="24" t="n">
        <v>39985.86</v>
      </c>
      <c r="E12" s="24" t="n">
        <v>0</v>
      </c>
      <c r="F12" s="24" t="n">
        <v>0</v>
      </c>
      <c r="G12" s="24" t="n">
        <v>19817.9</v>
      </c>
      <c r="H12" s="24" t="n">
        <v>2361.05</v>
      </c>
      <c r="I12" s="24" t="n">
        <f aca="false">G12+H12</f>
        <v>22178.95</v>
      </c>
      <c r="J12" s="24" t="n">
        <f aca="false">D12-I12</f>
        <v>17806.91</v>
      </c>
      <c r="K12" s="25" t="s">
        <v>85</v>
      </c>
      <c r="L12" s="25" t="s">
        <v>86</v>
      </c>
    </row>
    <row r="13" customFormat="false" ht="15" hidden="false" customHeight="false" outlineLevel="0" collapsed="false">
      <c r="A13" s="26"/>
      <c r="B13" s="27" t="s">
        <v>28</v>
      </c>
      <c r="C13" s="26"/>
      <c r="D13" s="28" t="n">
        <f aca="false">SUM(D10:D12)</f>
        <v>477465.65</v>
      </c>
      <c r="E13" s="28" t="n">
        <f aca="false">SUM(E10:E12)</f>
        <v>0</v>
      </c>
      <c r="F13" s="28" t="n">
        <f aca="false">SUM(F10:F12)</f>
        <v>0</v>
      </c>
      <c r="G13" s="28" t="n">
        <f aca="false">SUM(G10:G12)</f>
        <v>174840.71</v>
      </c>
      <c r="H13" s="28" t="n">
        <f aca="false">SUM(H10:H12)</f>
        <v>16513.32</v>
      </c>
      <c r="I13" s="28" t="n">
        <f aca="false">SUM(I10:I12)</f>
        <v>191354.03</v>
      </c>
      <c r="J13" s="28" t="n">
        <f aca="false">SUM(J10:J12)</f>
        <v>286111.62</v>
      </c>
      <c r="K13" s="26"/>
      <c r="L13" s="26"/>
    </row>
    <row r="15" customFormat="false" ht="15" hidden="false" customHeight="false" outlineLevel="0" collapsed="false">
      <c r="A15" s="21" t="s">
        <v>87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4" t="s">
        <v>75</v>
      </c>
      <c r="H16" s="4" t="s">
        <v>76</v>
      </c>
      <c r="I16" s="4" t="s">
        <v>77</v>
      </c>
      <c r="J16" s="4" t="s">
        <v>78</v>
      </c>
      <c r="K16" s="4" t="s">
        <v>79</v>
      </c>
      <c r="L16" s="4" t="s">
        <v>80</v>
      </c>
    </row>
    <row r="17" customFormat="false" ht="15" hidden="false" customHeight="false" outlineLevel="0" collapsed="false">
      <c r="A17" s="23" t="n">
        <v>1</v>
      </c>
      <c r="B17" s="23" t="s">
        <v>36</v>
      </c>
      <c r="C17" s="23" t="s">
        <v>15</v>
      </c>
      <c r="D17" s="24" t="n">
        <v>99963.17</v>
      </c>
      <c r="E17" s="24" t="n">
        <v>0</v>
      </c>
      <c r="F17" s="24" t="n">
        <v>0</v>
      </c>
      <c r="G17" s="24" t="n">
        <v>99963.17</v>
      </c>
      <c r="H17" s="24" t="n">
        <v>0</v>
      </c>
      <c r="I17" s="24" t="n">
        <f aca="false">G17+H17</f>
        <v>99963.17</v>
      </c>
      <c r="J17" s="24" t="n">
        <f aca="false">D17-I17</f>
        <v>0</v>
      </c>
      <c r="K17" s="25" t="s">
        <v>83</v>
      </c>
      <c r="L17" s="25" t="s">
        <v>84</v>
      </c>
    </row>
    <row r="18" customFormat="false" ht="15" hidden="false" customHeight="false" outlineLevel="0" collapsed="false">
      <c r="A18" s="23" t="n">
        <v>2</v>
      </c>
      <c r="B18" s="23" t="s">
        <v>37</v>
      </c>
      <c r="C18" s="23" t="s">
        <v>15</v>
      </c>
      <c r="D18" s="24" t="n">
        <v>289225.5</v>
      </c>
      <c r="E18" s="24" t="n">
        <v>0</v>
      </c>
      <c r="F18" s="24" t="n">
        <v>0</v>
      </c>
      <c r="G18" s="24" t="n">
        <v>106742.11</v>
      </c>
      <c r="H18" s="24" t="n">
        <v>10517.29</v>
      </c>
      <c r="I18" s="24" t="n">
        <f aca="false">G18+H18</f>
        <v>117259.4</v>
      </c>
      <c r="J18" s="24" t="n">
        <f aca="false">D18-I18</f>
        <v>171966.1</v>
      </c>
      <c r="K18" s="25" t="s">
        <v>81</v>
      </c>
      <c r="L18" s="25" t="s">
        <v>82</v>
      </c>
    </row>
    <row r="19" customFormat="false" ht="15" hidden="false" customHeight="false" outlineLevel="0" collapsed="false">
      <c r="A19" s="23" t="n">
        <v>3</v>
      </c>
      <c r="B19" s="23" t="s">
        <v>38</v>
      </c>
      <c r="C19" s="23" t="s">
        <v>15</v>
      </c>
      <c r="D19" s="24" t="n">
        <v>12403.58</v>
      </c>
      <c r="E19" s="24" t="n">
        <v>0</v>
      </c>
      <c r="F19" s="24" t="n">
        <v>0</v>
      </c>
      <c r="G19" s="24" t="n">
        <v>12403.58</v>
      </c>
      <c r="H19" s="24" t="n">
        <v>0</v>
      </c>
      <c r="I19" s="24" t="n">
        <f aca="false">G19+H19</f>
        <v>12403.58</v>
      </c>
      <c r="J19" s="24" t="n">
        <f aca="false">D19-I19</f>
        <v>0</v>
      </c>
      <c r="K19" s="25" t="s">
        <v>83</v>
      </c>
      <c r="L19" s="25" t="s">
        <v>84</v>
      </c>
    </row>
    <row r="20" customFormat="false" ht="15" hidden="false" customHeight="false" outlineLevel="0" collapsed="false">
      <c r="A20" s="23" t="n">
        <v>4</v>
      </c>
      <c r="B20" s="23" t="s">
        <v>39</v>
      </c>
      <c r="C20" s="23" t="s">
        <v>15</v>
      </c>
      <c r="D20" s="24" t="n">
        <v>35887.54</v>
      </c>
      <c r="E20" s="24" t="n">
        <v>0</v>
      </c>
      <c r="F20" s="24" t="n">
        <v>0</v>
      </c>
      <c r="G20" s="24" t="n">
        <v>9841.88</v>
      </c>
      <c r="H20" s="24" t="n">
        <v>1305</v>
      </c>
      <c r="I20" s="24" t="n">
        <f aca="false">G20+H20</f>
        <v>11146.88</v>
      </c>
      <c r="J20" s="24" t="n">
        <f aca="false">D20-I20</f>
        <v>24740.66</v>
      </c>
      <c r="K20" s="25" t="s">
        <v>81</v>
      </c>
      <c r="L20" s="25" t="s">
        <v>82</v>
      </c>
    </row>
    <row r="21" customFormat="false" ht="15" hidden="false" customHeight="false" outlineLevel="0" collapsed="false">
      <c r="A21" s="23" t="n">
        <v>5</v>
      </c>
      <c r="B21" s="23" t="s">
        <v>40</v>
      </c>
      <c r="C21" s="23" t="s">
        <v>15</v>
      </c>
      <c r="D21" s="24" t="n">
        <v>10270.37</v>
      </c>
      <c r="E21" s="24" t="n">
        <v>0</v>
      </c>
      <c r="F21" s="24" t="n">
        <v>0</v>
      </c>
      <c r="G21" s="24" t="n">
        <v>10270.37</v>
      </c>
      <c r="H21" s="24" t="n">
        <v>0</v>
      </c>
      <c r="I21" s="24" t="n">
        <f aca="false">G21+H21</f>
        <v>10270.37</v>
      </c>
      <c r="J21" s="24" t="n">
        <f aca="false">D21-I21</f>
        <v>0</v>
      </c>
      <c r="K21" s="25" t="s">
        <v>83</v>
      </c>
      <c r="L21" s="25" t="s">
        <v>84</v>
      </c>
    </row>
    <row r="22" customFormat="false" ht="15" hidden="false" customHeight="false" outlineLevel="0" collapsed="false">
      <c r="A22" s="23" t="n">
        <v>6</v>
      </c>
      <c r="B22" s="23" t="s">
        <v>41</v>
      </c>
      <c r="C22" s="23" t="s">
        <v>15</v>
      </c>
      <c r="D22" s="24" t="n">
        <v>29715.49</v>
      </c>
      <c r="E22" s="24" t="n">
        <v>0</v>
      </c>
      <c r="F22" s="24" t="n">
        <v>0</v>
      </c>
      <c r="G22" s="24" t="n">
        <v>8149.23</v>
      </c>
      <c r="H22" s="24" t="n">
        <v>1080.56</v>
      </c>
      <c r="I22" s="24" t="n">
        <f aca="false">G22+H22</f>
        <v>9229.79</v>
      </c>
      <c r="J22" s="24" t="n">
        <f aca="false">D22-I22</f>
        <v>20485.7</v>
      </c>
      <c r="K22" s="25" t="s">
        <v>81</v>
      </c>
      <c r="L22" s="25" t="s">
        <v>82</v>
      </c>
    </row>
    <row r="23" customFormat="false" ht="15" hidden="false" customHeight="false" outlineLevel="0" collapsed="false">
      <c r="A23" s="26"/>
      <c r="B23" s="27" t="s">
        <v>28</v>
      </c>
      <c r="C23" s="26"/>
      <c r="D23" s="28" t="n">
        <f aca="false">SUM(D17:D22)</f>
        <v>477465.65</v>
      </c>
      <c r="E23" s="28" t="n">
        <f aca="false">SUM(E17:E22)</f>
        <v>0</v>
      </c>
      <c r="F23" s="28" t="n">
        <f aca="false">SUM(F17:F22)</f>
        <v>0</v>
      </c>
      <c r="G23" s="28" t="n">
        <f aca="false">SUM(G17:G22)</f>
        <v>247370.34</v>
      </c>
      <c r="H23" s="28" t="n">
        <f aca="false">SUM(H17:H22)</f>
        <v>12902.85</v>
      </c>
      <c r="I23" s="28" t="n">
        <f aca="false">SUM(I17:I22)</f>
        <v>260273.19</v>
      </c>
      <c r="J23" s="28" t="n">
        <f aca="false">SUM(J17:J22)</f>
        <v>217192.46</v>
      </c>
      <c r="K23" s="26"/>
      <c r="L23" s="26"/>
    </row>
    <row r="25" customFormat="false" ht="15" hidden="false" customHeight="false" outlineLevel="0" collapsed="false">
      <c r="B25" s="18" t="s">
        <v>88</v>
      </c>
    </row>
    <row r="26" customFormat="false" ht="15" hidden="false" customHeight="false" outlineLevel="0" collapsed="false">
      <c r="B26" s="5" t="s">
        <v>89</v>
      </c>
      <c r="D26" s="6" t="n">
        <f aca="false">I13</f>
        <v>191354.03</v>
      </c>
    </row>
    <row r="27" customFormat="false" ht="15" hidden="false" customHeight="false" outlineLevel="0" collapsed="false">
      <c r="B27" s="5" t="s">
        <v>90</v>
      </c>
      <c r="D27" s="6" t="n">
        <f aca="false">I23</f>
        <v>260273.19</v>
      </c>
    </row>
    <row r="28" customFormat="false" ht="15" hidden="false" customHeight="false" outlineLevel="0" collapsed="false">
      <c r="B28" s="11" t="s">
        <v>88</v>
      </c>
      <c r="D28" s="29" t="n">
        <f aca="false">D26-D27</f>
        <v>-68919.16</v>
      </c>
    </row>
    <row r="30" customFormat="false" ht="15" hidden="false" customHeight="false" outlineLevel="0" collapsed="false">
      <c r="A30" s="10" t="s">
        <v>91</v>
      </c>
    </row>
    <row r="31" customFormat="false" ht="15" hidden="false" customHeight="false" outlineLevel="0" collapsed="false">
      <c r="A31" s="21" t="s">
        <v>92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69</v>
      </c>
      <c r="B32" s="4" t="s">
        <v>70</v>
      </c>
      <c r="C32" s="4" t="s">
        <v>71</v>
      </c>
      <c r="D32" s="4" t="s">
        <v>72</v>
      </c>
      <c r="E32" s="4" t="s">
        <v>73</v>
      </c>
      <c r="F32" s="4" t="s">
        <v>74</v>
      </c>
      <c r="G32" s="4" t="s">
        <v>93</v>
      </c>
      <c r="H32" s="4" t="s">
        <v>94</v>
      </c>
      <c r="I32" s="4" t="s">
        <v>77</v>
      </c>
      <c r="J32" s="4" t="s">
        <v>78</v>
      </c>
      <c r="K32" s="4" t="s">
        <v>79</v>
      </c>
      <c r="L32" s="4" t="s">
        <v>80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15</v>
      </c>
      <c r="D33" s="24" t="n">
        <v>389188.67</v>
      </c>
      <c r="E33" s="24" t="n">
        <v>0</v>
      </c>
      <c r="F33" s="24" t="n">
        <v>0</v>
      </c>
      <c r="G33" s="24" t="n">
        <v>106731.69</v>
      </c>
      <c r="H33" s="24" t="n">
        <v>14152.27</v>
      </c>
      <c r="I33" s="24" t="n">
        <f aca="false">G33+H33</f>
        <v>120883.96</v>
      </c>
      <c r="J33" s="24" t="n">
        <f aca="false">D33-I33</f>
        <v>268304.71</v>
      </c>
      <c r="K33" s="25" t="s">
        <v>81</v>
      </c>
      <c r="L33" s="25" t="s">
        <v>82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15</v>
      </c>
      <c r="D34" s="24" t="n">
        <v>48291.12</v>
      </c>
      <c r="E34" s="24" t="n">
        <v>0</v>
      </c>
      <c r="F34" s="24" t="n">
        <v>0</v>
      </c>
      <c r="G34" s="24" t="n">
        <v>48291.12</v>
      </c>
      <c r="H34" s="24" t="n">
        <v>0</v>
      </c>
      <c r="I34" s="24" t="n">
        <f aca="false">G34+H34</f>
        <v>48291.12</v>
      </c>
      <c r="J34" s="24" t="n">
        <f aca="false">D34-I34</f>
        <v>0</v>
      </c>
      <c r="K34" s="25" t="s">
        <v>83</v>
      </c>
      <c r="L34" s="25" t="s">
        <v>84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15</v>
      </c>
      <c r="D35" s="24" t="n">
        <v>39985.86</v>
      </c>
      <c r="E35" s="24" t="n">
        <v>0</v>
      </c>
      <c r="F35" s="24" t="n">
        <v>0</v>
      </c>
      <c r="G35" s="24" t="n">
        <v>19817.9</v>
      </c>
      <c r="H35" s="24" t="n">
        <v>2361.05</v>
      </c>
      <c r="I35" s="24" t="n">
        <f aca="false">G35+H35</f>
        <v>22178.95</v>
      </c>
      <c r="J35" s="24" t="n">
        <f aca="false">D35-I35</f>
        <v>17806.91</v>
      </c>
      <c r="K35" s="25" t="s">
        <v>85</v>
      </c>
      <c r="L35" s="25" t="s">
        <v>86</v>
      </c>
    </row>
    <row r="36" customFormat="false" ht="15" hidden="false" customHeight="false" outlineLevel="0" collapsed="false">
      <c r="A36" s="26"/>
      <c r="B36" s="27" t="s">
        <v>28</v>
      </c>
      <c r="C36" s="26"/>
      <c r="D36" s="28" t="n">
        <f aca="false">SUM(D33:D35)</f>
        <v>477465.65</v>
      </c>
      <c r="E36" s="28" t="n">
        <f aca="false">SUM(E33:E35)</f>
        <v>0</v>
      </c>
      <c r="F36" s="28" t="n">
        <f aca="false">SUM(F33:F35)</f>
        <v>0</v>
      </c>
      <c r="G36" s="28" t="n">
        <f aca="false">SUM(G33:G35)</f>
        <v>174840.71</v>
      </c>
      <c r="H36" s="28" t="n">
        <f aca="false">SUM(H33:H35)</f>
        <v>16513.32</v>
      </c>
      <c r="I36" s="28" t="n">
        <f aca="false">SUM(I33:I35)</f>
        <v>191354.03</v>
      </c>
      <c r="J36" s="28" t="n">
        <f aca="false">SUM(J33:J35)</f>
        <v>286111.62</v>
      </c>
      <c r="K36" s="26"/>
      <c r="L36" s="26"/>
    </row>
    <row r="38" customFormat="false" ht="15" hidden="false" customHeight="false" outlineLevel="0" collapsed="false">
      <c r="A38" s="21" t="s">
        <v>95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69</v>
      </c>
      <c r="B39" s="4" t="s">
        <v>70</v>
      </c>
      <c r="C39" s="4" t="s">
        <v>71</v>
      </c>
      <c r="D39" s="4" t="s">
        <v>72</v>
      </c>
      <c r="E39" s="4" t="s">
        <v>73</v>
      </c>
      <c r="F39" s="4" t="s">
        <v>74</v>
      </c>
      <c r="G39" s="4" t="s">
        <v>93</v>
      </c>
      <c r="H39" s="4" t="s">
        <v>94</v>
      </c>
      <c r="I39" s="4" t="s">
        <v>77</v>
      </c>
      <c r="J39" s="4" t="s">
        <v>78</v>
      </c>
      <c r="K39" s="4" t="s">
        <v>79</v>
      </c>
      <c r="L39" s="4" t="s">
        <v>80</v>
      </c>
    </row>
    <row r="40" customFormat="false" ht="15" hidden="false" customHeight="false" outlineLevel="0" collapsed="false">
      <c r="A40" s="23" t="n">
        <v>1</v>
      </c>
      <c r="B40" s="23" t="s">
        <v>36</v>
      </c>
      <c r="C40" s="23" t="s">
        <v>15</v>
      </c>
      <c r="D40" s="24" t="n">
        <v>99963.17</v>
      </c>
      <c r="E40" s="24" t="n">
        <v>0</v>
      </c>
      <c r="F40" s="24" t="n">
        <v>0</v>
      </c>
      <c r="G40" s="24" t="n">
        <v>99963.17</v>
      </c>
      <c r="H40" s="24" t="n">
        <v>0</v>
      </c>
      <c r="I40" s="24" t="n">
        <f aca="false">G40+H40</f>
        <v>99963.17</v>
      </c>
      <c r="J40" s="24" t="n">
        <f aca="false">D40-I40</f>
        <v>0</v>
      </c>
      <c r="K40" s="25" t="s">
        <v>83</v>
      </c>
      <c r="L40" s="25" t="s">
        <v>84</v>
      </c>
    </row>
    <row r="41" customFormat="false" ht="15" hidden="false" customHeight="false" outlineLevel="0" collapsed="false">
      <c r="A41" s="23" t="n">
        <v>2</v>
      </c>
      <c r="B41" s="23" t="s">
        <v>37</v>
      </c>
      <c r="C41" s="23" t="s">
        <v>15</v>
      </c>
      <c r="D41" s="24" t="n">
        <v>289225.5</v>
      </c>
      <c r="E41" s="24" t="n">
        <v>0</v>
      </c>
      <c r="F41" s="24" t="n">
        <v>0</v>
      </c>
      <c r="G41" s="24" t="n">
        <v>106742.11</v>
      </c>
      <c r="H41" s="24" t="n">
        <v>10517.29</v>
      </c>
      <c r="I41" s="24" t="n">
        <f aca="false">G41+H41</f>
        <v>117259.4</v>
      </c>
      <c r="J41" s="24" t="n">
        <f aca="false">D41-I41</f>
        <v>171966.1</v>
      </c>
      <c r="K41" s="25" t="s">
        <v>81</v>
      </c>
      <c r="L41" s="25" t="s">
        <v>82</v>
      </c>
    </row>
    <row r="42" customFormat="false" ht="15" hidden="false" customHeight="false" outlineLevel="0" collapsed="false">
      <c r="A42" s="23" t="n">
        <v>3</v>
      </c>
      <c r="B42" s="23" t="s">
        <v>38</v>
      </c>
      <c r="C42" s="23" t="s">
        <v>15</v>
      </c>
      <c r="D42" s="24" t="n">
        <v>12403.58</v>
      </c>
      <c r="E42" s="24" t="n">
        <v>0</v>
      </c>
      <c r="F42" s="24" t="n">
        <v>0</v>
      </c>
      <c r="G42" s="24" t="n">
        <v>12403.58</v>
      </c>
      <c r="H42" s="24" t="n">
        <v>0</v>
      </c>
      <c r="I42" s="24" t="n">
        <f aca="false">G42+H42</f>
        <v>12403.58</v>
      </c>
      <c r="J42" s="24" t="n">
        <f aca="false">D42-I42</f>
        <v>0</v>
      </c>
      <c r="K42" s="25" t="s">
        <v>83</v>
      </c>
      <c r="L42" s="25" t="s">
        <v>84</v>
      </c>
    </row>
    <row r="43" customFormat="false" ht="15" hidden="false" customHeight="false" outlineLevel="0" collapsed="false">
      <c r="A43" s="23" t="n">
        <v>4</v>
      </c>
      <c r="B43" s="23" t="s">
        <v>39</v>
      </c>
      <c r="C43" s="23" t="s">
        <v>15</v>
      </c>
      <c r="D43" s="24" t="n">
        <v>35887.54</v>
      </c>
      <c r="E43" s="24" t="n">
        <v>0</v>
      </c>
      <c r="F43" s="24" t="n">
        <v>0</v>
      </c>
      <c r="G43" s="24" t="n">
        <v>9841.88</v>
      </c>
      <c r="H43" s="24" t="n">
        <v>1305</v>
      </c>
      <c r="I43" s="24" t="n">
        <f aca="false">G43+H43</f>
        <v>11146.88</v>
      </c>
      <c r="J43" s="24" t="n">
        <f aca="false">D43-I43</f>
        <v>24740.66</v>
      </c>
      <c r="K43" s="25" t="s">
        <v>81</v>
      </c>
      <c r="L43" s="25" t="s">
        <v>82</v>
      </c>
    </row>
    <row r="44" customFormat="false" ht="15" hidden="false" customHeight="false" outlineLevel="0" collapsed="false">
      <c r="A44" s="23" t="n">
        <v>5</v>
      </c>
      <c r="B44" s="23" t="s">
        <v>40</v>
      </c>
      <c r="C44" s="23" t="s">
        <v>15</v>
      </c>
      <c r="D44" s="24" t="n">
        <v>10270.37</v>
      </c>
      <c r="E44" s="24" t="n">
        <v>0</v>
      </c>
      <c r="F44" s="24" t="n">
        <v>0</v>
      </c>
      <c r="G44" s="24" t="n">
        <v>10270.37</v>
      </c>
      <c r="H44" s="24" t="n">
        <v>0</v>
      </c>
      <c r="I44" s="24" t="n">
        <f aca="false">G44+H44</f>
        <v>10270.37</v>
      </c>
      <c r="J44" s="24" t="n">
        <f aca="false">D44-I44</f>
        <v>0</v>
      </c>
      <c r="K44" s="25" t="s">
        <v>83</v>
      </c>
      <c r="L44" s="25" t="s">
        <v>84</v>
      </c>
    </row>
    <row r="45" customFormat="false" ht="15" hidden="false" customHeight="false" outlineLevel="0" collapsed="false">
      <c r="A45" s="23" t="n">
        <v>6</v>
      </c>
      <c r="B45" s="23" t="s">
        <v>41</v>
      </c>
      <c r="C45" s="23" t="s">
        <v>15</v>
      </c>
      <c r="D45" s="24" t="n">
        <v>29715.49</v>
      </c>
      <c r="E45" s="24" t="n">
        <v>0</v>
      </c>
      <c r="F45" s="24" t="n">
        <v>0</v>
      </c>
      <c r="G45" s="24" t="n">
        <v>8149.23</v>
      </c>
      <c r="H45" s="24" t="n">
        <v>1080.56</v>
      </c>
      <c r="I45" s="24" t="n">
        <f aca="false">G45+H45</f>
        <v>9229.79</v>
      </c>
      <c r="J45" s="24" t="n">
        <f aca="false">D45-I45</f>
        <v>20485.7</v>
      </c>
      <c r="K45" s="25" t="s">
        <v>81</v>
      </c>
      <c r="L45" s="25" t="s">
        <v>82</v>
      </c>
    </row>
    <row r="46" customFormat="false" ht="15" hidden="false" customHeight="false" outlineLevel="0" collapsed="false">
      <c r="A46" s="26"/>
      <c r="B46" s="27" t="s">
        <v>28</v>
      </c>
      <c r="C46" s="26"/>
      <c r="D46" s="28" t="n">
        <f aca="false">SUM(D40:D45)</f>
        <v>477465.65</v>
      </c>
      <c r="E46" s="28" t="n">
        <f aca="false">SUM(E40:E45)</f>
        <v>0</v>
      </c>
      <c r="F46" s="28" t="n">
        <f aca="false">SUM(F40:F45)</f>
        <v>0</v>
      </c>
      <c r="G46" s="28" t="n">
        <f aca="false">SUM(G40:G45)</f>
        <v>247370.34</v>
      </c>
      <c r="H46" s="28" t="n">
        <f aca="false">SUM(H40:H45)</f>
        <v>12902.85</v>
      </c>
      <c r="I46" s="28" t="n">
        <f aca="false">SUM(I40:I45)</f>
        <v>260273.19</v>
      </c>
      <c r="J46" s="28" t="n">
        <f aca="false">SUM(J40:J45)</f>
        <v>217192.46</v>
      </c>
      <c r="K46" s="26"/>
      <c r="L46" s="26"/>
    </row>
    <row r="48" customFormat="false" ht="15" hidden="false" customHeight="false" outlineLevel="0" collapsed="false">
      <c r="B48" s="18" t="s">
        <v>96</v>
      </c>
    </row>
    <row r="49" customFormat="false" ht="15" hidden="false" customHeight="false" outlineLevel="0" collapsed="false">
      <c r="B49" s="5" t="s">
        <v>89</v>
      </c>
      <c r="D49" s="6" t="n">
        <f aca="false">I36</f>
        <v>191354.03</v>
      </c>
    </row>
    <row r="50" customFormat="false" ht="15" hidden="false" customHeight="false" outlineLevel="0" collapsed="false">
      <c r="B50" s="5" t="s">
        <v>90</v>
      </c>
      <c r="D50" s="6" t="n">
        <f aca="false">I46</f>
        <v>260273.19</v>
      </c>
    </row>
    <row r="51" customFormat="false" ht="15" hidden="false" customHeight="false" outlineLevel="0" collapsed="false">
      <c r="B51" s="11" t="s">
        <v>96</v>
      </c>
      <c r="D51" s="29" t="n">
        <f aca="false">D49-D50</f>
        <v>-68919.16</v>
      </c>
    </row>
    <row r="53" customFormat="false" ht="15" hidden="false" customHeight="false" outlineLevel="0" collapsed="false">
      <c r="A53" s="10" t="s">
        <v>97</v>
      </c>
    </row>
    <row r="54" customFormat="false" ht="15" hidden="false" customHeight="false" outlineLevel="0" collapsed="false">
      <c r="B54" s="11" t="s">
        <v>123</v>
      </c>
      <c r="D54" s="12" t="n">
        <f aca="false">D95</f>
        <v>477465.65</v>
      </c>
    </row>
    <row r="55" customFormat="false" ht="15" hidden="false" customHeight="false" outlineLevel="0" collapsed="false">
      <c r="B55" s="5" t="s">
        <v>124</v>
      </c>
      <c r="D55" s="6" t="n">
        <f aca="false">F95</f>
        <v>122637.12</v>
      </c>
    </row>
    <row r="56" customFormat="false" ht="15" hidden="false" customHeight="false" outlineLevel="0" collapsed="false">
      <c r="B56" s="30" t="s">
        <v>100</v>
      </c>
      <c r="D56" s="31" t="n">
        <f aca="false">F96</f>
        <v>0.256850141994508</v>
      </c>
    </row>
    <row r="57" customFormat="false" ht="15" hidden="false" customHeight="false" outlineLevel="0" collapsed="false">
      <c r="B57" s="5" t="s">
        <v>125</v>
      </c>
      <c r="D57" s="6" t="n">
        <f aca="false">H95</f>
        <v>354828.53</v>
      </c>
    </row>
    <row r="58" customFormat="false" ht="15" hidden="false" customHeight="false" outlineLevel="0" collapsed="false">
      <c r="B58" s="30" t="s">
        <v>100</v>
      </c>
      <c r="D58" s="31" t="n">
        <f aca="false">H96</f>
        <v>0.743149858005492</v>
      </c>
    </row>
    <row r="60" customFormat="false" ht="15" hidden="false" customHeight="false" outlineLevel="0" collapsed="false">
      <c r="A60" s="10" t="s">
        <v>102</v>
      </c>
    </row>
    <row r="61" customFormat="false" ht="15" hidden="false" customHeight="false" outlineLevel="0" collapsed="false">
      <c r="B61" s="4" t="s">
        <v>103</v>
      </c>
      <c r="D61" s="4" t="s">
        <v>72</v>
      </c>
      <c r="F61" s="4" t="s">
        <v>126</v>
      </c>
      <c r="H61" s="4" t="s">
        <v>105</v>
      </c>
    </row>
    <row r="62" customFormat="false" ht="15" hidden="false" customHeight="false" outlineLevel="0" collapsed="false">
      <c r="B62" s="32" t="s">
        <v>127</v>
      </c>
    </row>
    <row r="63" customFormat="false" ht="15" hidden="false" customHeight="false" outlineLevel="0" collapsed="false">
      <c r="B63" s="5" t="s">
        <v>128</v>
      </c>
      <c r="D63" s="33" t="n">
        <f aca="false">SUM(F63:H63)</f>
        <v>28387.8</v>
      </c>
      <c r="F63" s="33" t="n">
        <v>28387.8</v>
      </c>
    </row>
    <row r="64" customFormat="false" ht="15" hidden="false" customHeight="false" outlineLevel="0" collapsed="false">
      <c r="B64" s="5" t="s">
        <v>129</v>
      </c>
      <c r="D64" s="33" t="n">
        <f aca="false">SUM(F64:H64)</f>
        <v>5287.63</v>
      </c>
      <c r="F64" s="33" t="n">
        <v>5287.63</v>
      </c>
    </row>
    <row r="65" customFormat="false" ht="15" hidden="false" customHeight="false" outlineLevel="0" collapsed="false">
      <c r="B65" s="5" t="s">
        <v>130</v>
      </c>
      <c r="D65" s="33" t="n">
        <f aca="false">SUM(F65:H65)</f>
        <v>1395.33</v>
      </c>
      <c r="F65" s="33" t="n">
        <v>1395.33</v>
      </c>
    </row>
    <row r="66" customFormat="false" ht="15" hidden="false" customHeight="false" outlineLevel="0" collapsed="false">
      <c r="B66" s="5" t="s">
        <v>131</v>
      </c>
      <c r="D66" s="33" t="n">
        <f aca="false">SUM(F66:H66)</f>
        <v>9950.29</v>
      </c>
      <c r="F66" s="33" t="n">
        <v>9950.29</v>
      </c>
    </row>
    <row r="67" customFormat="false" ht="15" hidden="false" customHeight="false" outlineLevel="0" collapsed="false">
      <c r="B67" s="5" t="s">
        <v>132</v>
      </c>
      <c r="D67" s="33" t="n">
        <f aca="false">SUM(F67:H67)</f>
        <v>25002.18</v>
      </c>
      <c r="F67" s="33" t="n">
        <v>25002.18</v>
      </c>
    </row>
    <row r="68" customFormat="false" ht="15" hidden="false" customHeight="false" outlineLevel="0" collapsed="false">
      <c r="B68" s="5" t="s">
        <v>133</v>
      </c>
      <c r="D68" s="33" t="n">
        <f aca="false">SUM(F68:H68)</f>
        <v>2047.41</v>
      </c>
      <c r="F68" s="33" t="n">
        <v>2047.41</v>
      </c>
    </row>
    <row r="69" customFormat="false" ht="15" hidden="false" customHeight="false" outlineLevel="0" collapsed="false">
      <c r="B69" s="5" t="s">
        <v>134</v>
      </c>
      <c r="D69" s="33" t="n">
        <f aca="false">SUM(F69:H69)</f>
        <v>5849.75</v>
      </c>
      <c r="F69" s="33" t="n">
        <v>5849.75</v>
      </c>
    </row>
    <row r="70" customFormat="false" ht="15" hidden="false" customHeight="false" outlineLevel="0" collapsed="false">
      <c r="B70" s="5" t="s">
        <v>135</v>
      </c>
      <c r="D70" s="33" t="n">
        <f aca="false">SUM(F70:H70)</f>
        <v>243.74</v>
      </c>
      <c r="F70" s="33" t="n">
        <v>243.74</v>
      </c>
    </row>
    <row r="71" customFormat="false" ht="15" hidden="false" customHeight="false" outlineLevel="0" collapsed="false">
      <c r="B71" s="5" t="s">
        <v>136</v>
      </c>
      <c r="D71" s="33" t="n">
        <f aca="false">SUM(F71:H71)</f>
        <v>9386.83</v>
      </c>
      <c r="F71" s="33" t="n">
        <v>9386.83</v>
      </c>
    </row>
    <row r="72" customFormat="false" ht="15" hidden="false" customHeight="false" outlineLevel="0" collapsed="false">
      <c r="B72" s="5" t="s">
        <v>137</v>
      </c>
      <c r="D72" s="33" t="n">
        <f aca="false">SUM(F72:H72)</f>
        <v>3514.14</v>
      </c>
      <c r="F72" s="33" t="n">
        <v>3514.14</v>
      </c>
    </row>
    <row r="73" customFormat="false" ht="15" hidden="false" customHeight="false" outlineLevel="0" collapsed="false">
      <c r="B73" s="5" t="s">
        <v>138</v>
      </c>
      <c r="D73" s="33" t="n">
        <f aca="false">SUM(F73:H73)</f>
        <v>13466.48</v>
      </c>
      <c r="F73" s="33" t="n">
        <v>13466.48</v>
      </c>
    </row>
    <row r="74" customFormat="false" ht="15" hidden="false" customHeight="false" outlineLevel="0" collapsed="false">
      <c r="B74" s="5" t="s">
        <v>139</v>
      </c>
      <c r="D74" s="33" t="n">
        <f aca="false">SUM(F74:H74)</f>
        <v>947.24</v>
      </c>
      <c r="F74" s="33" t="n">
        <v>947.24</v>
      </c>
    </row>
    <row r="75" customFormat="false" ht="15" hidden="false" customHeight="false" outlineLevel="0" collapsed="false">
      <c r="B75" s="5" t="s">
        <v>140</v>
      </c>
      <c r="D75" s="33" t="n">
        <f aca="false">SUM(F75:H75)</f>
        <v>212.61</v>
      </c>
      <c r="F75" s="33" t="n">
        <v>212.61</v>
      </c>
    </row>
    <row r="76" customFormat="false" ht="15" hidden="false" customHeight="false" outlineLevel="0" collapsed="false">
      <c r="B76" s="5" t="s">
        <v>141</v>
      </c>
      <c r="D76" s="33" t="n">
        <f aca="false">SUM(F76:H76)</f>
        <v>16945.69</v>
      </c>
      <c r="F76" s="33" t="n">
        <v>16945.69</v>
      </c>
    </row>
    <row r="77" customFormat="false" ht="15" hidden="false" customHeight="false" outlineLevel="0" collapsed="false">
      <c r="B77" s="32" t="s">
        <v>142</v>
      </c>
    </row>
    <row r="78" customFormat="false" ht="15" hidden="false" customHeight="false" outlineLevel="0" collapsed="false">
      <c r="B78" s="5" t="s">
        <v>143</v>
      </c>
      <c r="D78" s="33" t="n">
        <f aca="false">SUM(F78:H78)</f>
        <v>22420.11</v>
      </c>
      <c r="H78" s="33" t="n">
        <v>22420.11</v>
      </c>
    </row>
    <row r="79" customFormat="false" ht="15" hidden="false" customHeight="false" outlineLevel="0" collapsed="false">
      <c r="B79" s="5" t="s">
        <v>144</v>
      </c>
      <c r="D79" s="33" t="n">
        <f aca="false">SUM(F79:H79)</f>
        <v>28072.36</v>
      </c>
      <c r="H79" s="33" t="n">
        <v>28072.36</v>
      </c>
    </row>
    <row r="80" customFormat="false" ht="15" hidden="false" customHeight="false" outlineLevel="0" collapsed="false">
      <c r="B80" s="5" t="s">
        <v>145</v>
      </c>
      <c r="D80" s="33" t="n">
        <f aca="false">SUM(F80:H80)</f>
        <v>15630.87</v>
      </c>
      <c r="H80" s="33" t="n">
        <v>15630.87</v>
      </c>
    </row>
    <row r="81" customFormat="false" ht="15" hidden="false" customHeight="false" outlineLevel="0" collapsed="false">
      <c r="B81" s="5" t="s">
        <v>146</v>
      </c>
      <c r="D81" s="33" t="n">
        <f aca="false">SUM(F81:H81)</f>
        <v>33364.56</v>
      </c>
      <c r="H81" s="33" t="n">
        <v>33364.56</v>
      </c>
    </row>
    <row r="82" customFormat="false" ht="15" hidden="false" customHeight="false" outlineLevel="0" collapsed="false">
      <c r="B82" s="5" t="s">
        <v>147</v>
      </c>
      <c r="D82" s="33" t="n">
        <f aca="false">SUM(F82:H82)</f>
        <v>35284.68</v>
      </c>
      <c r="H82" s="33" t="n">
        <v>35284.68</v>
      </c>
    </row>
    <row r="83" customFormat="false" ht="15" hidden="false" customHeight="false" outlineLevel="0" collapsed="false">
      <c r="B83" s="5" t="s">
        <v>148</v>
      </c>
      <c r="D83" s="33" t="n">
        <f aca="false">SUM(F83:H83)</f>
        <v>3313.81</v>
      </c>
      <c r="H83" s="33" t="n">
        <v>3313.81</v>
      </c>
    </row>
    <row r="84" customFormat="false" ht="15" hidden="false" customHeight="false" outlineLevel="0" collapsed="false">
      <c r="B84" s="5" t="s">
        <v>149</v>
      </c>
      <c r="D84" s="33" t="n">
        <f aca="false">SUM(F84:H84)</f>
        <v>16546.13</v>
      </c>
      <c r="H84" s="33" t="n">
        <v>16546.13</v>
      </c>
    </row>
    <row r="85" customFormat="false" ht="15" hidden="false" customHeight="false" outlineLevel="0" collapsed="false">
      <c r="B85" s="5" t="s">
        <v>150</v>
      </c>
      <c r="D85" s="33" t="n">
        <f aca="false">SUM(F85:H85)</f>
        <v>22380.23</v>
      </c>
      <c r="H85" s="33" t="n">
        <v>22380.23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17270.68</v>
      </c>
      <c r="H86" s="33" t="n">
        <v>17270.68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18558.31</v>
      </c>
      <c r="H87" s="33" t="n">
        <v>18558.31</v>
      </c>
    </row>
    <row r="88" customFormat="false" ht="15" hidden="false" customHeight="false" outlineLevel="0" collapsed="false">
      <c r="B88" s="5" t="s">
        <v>153</v>
      </c>
      <c r="D88" s="33" t="n">
        <f aca="false">SUM(F88:H88)</f>
        <v>42251.16</v>
      </c>
      <c r="H88" s="33" t="n">
        <v>42251.16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20566.05</v>
      </c>
      <c r="H89" s="33" t="n">
        <v>20566.05</v>
      </c>
    </row>
    <row r="90" customFormat="false" ht="15" hidden="false" customHeight="false" outlineLevel="0" collapsed="false">
      <c r="B90" s="5" t="s">
        <v>155</v>
      </c>
      <c r="D90" s="33" t="n">
        <f aca="false">SUM(F90:H90)</f>
        <v>2242.07</v>
      </c>
      <c r="H90" s="33" t="n">
        <v>2242.07</v>
      </c>
    </row>
    <row r="91" customFormat="false" ht="15" hidden="false" customHeight="false" outlineLevel="0" collapsed="false">
      <c r="B91" s="5" t="s">
        <v>156</v>
      </c>
      <c r="D91" s="33" t="n">
        <f aca="false">SUM(F91:H91)</f>
        <v>54791.16</v>
      </c>
      <c r="H91" s="33" t="n">
        <v>54791.16</v>
      </c>
    </row>
    <row r="92" customFormat="false" ht="15" hidden="false" customHeight="false" outlineLevel="0" collapsed="false">
      <c r="B92" s="5" t="s">
        <v>157</v>
      </c>
      <c r="D92" s="33" t="n">
        <f aca="false">SUM(F92:H92)</f>
        <v>7945.49</v>
      </c>
      <c r="H92" s="33" t="n">
        <v>7945.49</v>
      </c>
    </row>
    <row r="93" customFormat="false" ht="15" hidden="false" customHeight="false" outlineLevel="0" collapsed="false">
      <c r="B93" s="5" t="s">
        <v>158</v>
      </c>
      <c r="D93" s="33" t="n">
        <f aca="false">SUM(F93:H93)</f>
        <v>6585.61</v>
      </c>
      <c r="H93" s="33" t="n">
        <v>6585.61</v>
      </c>
    </row>
    <row r="94" customFormat="false" ht="15" hidden="false" customHeight="false" outlineLevel="0" collapsed="false">
      <c r="B94" s="5" t="s">
        <v>159</v>
      </c>
      <c r="D94" s="33" t="n">
        <f aca="false">SUM(F94:H94)</f>
        <v>7605.25</v>
      </c>
      <c r="H94" s="33" t="n">
        <v>7605.25</v>
      </c>
    </row>
    <row r="95" customFormat="false" ht="15" hidden="false" customHeight="false" outlineLevel="0" collapsed="false">
      <c r="B95" s="11" t="s">
        <v>123</v>
      </c>
      <c r="D95" s="34" t="n">
        <f aca="false">SUM(D62:D94)</f>
        <v>477465.65</v>
      </c>
      <c r="F95" s="34" t="n">
        <f aca="false">SUM(F62:F94)</f>
        <v>122637.12</v>
      </c>
      <c r="H95" s="34" t="n">
        <f aca="false">SUM(H62:H94)</f>
        <v>354828.53</v>
      </c>
    </row>
    <row r="96" customFormat="false" ht="15" hidden="false" customHeight="false" outlineLevel="0" collapsed="false">
      <c r="B96" s="30" t="s">
        <v>100</v>
      </c>
      <c r="F96" s="31" t="n">
        <f aca="false">F95/D95</f>
        <v>0.256850141994508</v>
      </c>
      <c r="H96" s="31" t="n">
        <f aca="false">H95/D95</f>
        <v>0.743149858005492</v>
      </c>
    </row>
    <row r="98" customFormat="false" ht="15" hidden="false" customHeight="false" outlineLevel="0" collapsed="false">
      <c r="A98" s="10" t="s">
        <v>118</v>
      </c>
    </row>
    <row r="99" customFormat="false" ht="15" hidden="false" customHeight="false" outlineLevel="0" collapsed="false">
      <c r="B99" s="4" t="s">
        <v>119</v>
      </c>
      <c r="D99" s="4" t="s">
        <v>72</v>
      </c>
      <c r="F99" s="4" t="s">
        <v>126</v>
      </c>
      <c r="H99" s="4" t="s">
        <v>105</v>
      </c>
    </row>
    <row r="100" customFormat="false" ht="15" hidden="false" customHeight="false" outlineLevel="0" collapsed="false">
      <c r="B100" s="5" t="str">
        <f aca="false">'Apartments 64-80'!B17</f>
        <v>2 - Building - apt - 5yr</v>
      </c>
      <c r="D100" s="33" t="n">
        <f aca="false">SUM(F100:H100)</f>
        <v>99963.17</v>
      </c>
      <c r="F100" s="33" t="n">
        <f aca="false">'Apartments 64-80'!D17</f>
        <v>99963.17</v>
      </c>
    </row>
    <row r="101" customFormat="false" ht="15" hidden="false" customHeight="false" outlineLevel="0" collapsed="false">
      <c r="B101" s="5" t="str">
        <f aca="false">'Apartments 64-80'!B18</f>
        <v>2 - Building - apt - 27.5yr</v>
      </c>
      <c r="D101" s="33" t="n">
        <f aca="false">SUM(F101:H101)</f>
        <v>289225.5</v>
      </c>
      <c r="H101" s="33" t="n">
        <f aca="false">'Apartments 64-80'!D18</f>
        <v>289225.5</v>
      </c>
    </row>
    <row r="102" customFormat="false" ht="15" hidden="false" customHeight="false" outlineLevel="0" collapsed="false">
      <c r="B102" s="5" t="str">
        <f aca="false">'Apartments 64-80'!B19</f>
        <v>4 - Equipment - apt - 5yr</v>
      </c>
      <c r="D102" s="33" t="n">
        <f aca="false">SUM(F102:H102)</f>
        <v>12403.58</v>
      </c>
      <c r="F102" s="33" t="n">
        <f aca="false">'Apartments 64-80'!D19</f>
        <v>12403.58</v>
      </c>
    </row>
    <row r="103" customFormat="false" ht="15" hidden="false" customHeight="false" outlineLevel="0" collapsed="false">
      <c r="B103" s="5" t="str">
        <f aca="false">'Apartments 64-80'!B20</f>
        <v>4 - Equipment - apt - 27.5yr</v>
      </c>
      <c r="D103" s="33" t="n">
        <f aca="false">SUM(F103:H103)</f>
        <v>35887.54</v>
      </c>
      <c r="H103" s="33" t="n">
        <f aca="false">'Apartments 64-80'!D20</f>
        <v>35887.54</v>
      </c>
    </row>
    <row r="104" customFormat="false" ht="15" hidden="false" customHeight="false" outlineLevel="0" collapsed="false">
      <c r="B104" s="5" t="str">
        <f aca="false">'Apartments 64-80'!B21</f>
        <v>5 - Land Improvements - apt - 5yr</v>
      </c>
      <c r="D104" s="33" t="n">
        <f aca="false">SUM(F104:H104)</f>
        <v>10270.37</v>
      </c>
      <c r="F104" s="33" t="n">
        <f aca="false">'Apartments 64-80'!D21</f>
        <v>10270.37</v>
      </c>
    </row>
    <row r="105" customFormat="false" ht="15" hidden="false" customHeight="false" outlineLevel="0" collapsed="false">
      <c r="B105" s="5" t="str">
        <f aca="false">'Apartments 64-80'!B22</f>
        <v>5 - Land Improvements - apt - 27.5yr</v>
      </c>
      <c r="D105" s="33" t="n">
        <f aca="false">SUM(F105:H105)</f>
        <v>29715.49</v>
      </c>
      <c r="H105" s="33" t="n">
        <f aca="false">'Apartments 64-80'!D22</f>
        <v>29715.49</v>
      </c>
    </row>
    <row r="106" customFormat="false" ht="15" hidden="false" customHeight="false" outlineLevel="0" collapsed="false">
      <c r="B106" s="11" t="s">
        <v>120</v>
      </c>
      <c r="D106" s="34" t="n">
        <f aca="false">SUM(D100:D105)</f>
        <v>477465.65</v>
      </c>
      <c r="F106" s="34" t="n">
        <f aca="false">SUM(F100:F105)</f>
        <v>122637.12</v>
      </c>
      <c r="H106" s="34" t="n">
        <f aca="false">SUM(H100:H105)</f>
        <v>354828.53</v>
      </c>
    </row>
    <row r="107" customFormat="false" ht="15" hidden="false" customHeight="false" outlineLevel="0" collapsed="false">
      <c r="B107" s="16" t="s">
        <v>121</v>
      </c>
      <c r="D107" s="17" t="n">
        <f aca="false">D106-D95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165</v>
      </c>
    </row>
    <row r="5" customFormat="false" ht="15" hidden="false" customHeight="false" outlineLevel="0" collapsed="false">
      <c r="A5" s="16" t="s">
        <v>66</v>
      </c>
    </row>
    <row r="7" customFormat="false" ht="15" hidden="false" customHeight="false" outlineLevel="0" collapsed="false">
      <c r="A7" s="10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79</v>
      </c>
      <c r="L9" s="4" t="s">
        <v>80</v>
      </c>
    </row>
    <row r="10" customFormat="false" ht="15" hidden="false" customHeight="false" outlineLevel="0" collapsed="false">
      <c r="A10" s="23" t="n">
        <v>1</v>
      </c>
      <c r="B10" s="23" t="s">
        <v>22</v>
      </c>
      <c r="C10" s="23" t="s">
        <v>15</v>
      </c>
      <c r="D10" s="24" t="n">
        <v>26288.67</v>
      </c>
      <c r="E10" s="24" t="n">
        <v>0</v>
      </c>
      <c r="F10" s="24" t="n">
        <v>0</v>
      </c>
      <c r="G10" s="24" t="n">
        <v>7209.44</v>
      </c>
      <c r="H10" s="24" t="n">
        <v>955.95</v>
      </c>
      <c r="I10" s="24" t="n">
        <f aca="false">G10+H10</f>
        <v>8165.39</v>
      </c>
      <c r="J10" s="24" t="n">
        <f aca="false">D10-I10</f>
        <v>18123.28</v>
      </c>
      <c r="K10" s="25" t="s">
        <v>81</v>
      </c>
      <c r="L10" s="25" t="s">
        <v>82</v>
      </c>
    </row>
    <row r="11" customFormat="false" ht="15" hidden="false" customHeight="false" outlineLevel="0" collapsed="false">
      <c r="A11" s="23" t="n">
        <v>2</v>
      </c>
      <c r="B11" s="23" t="s">
        <v>23</v>
      </c>
      <c r="C11" s="23" t="s">
        <v>15</v>
      </c>
      <c r="D11" s="24" t="n">
        <v>3261.92</v>
      </c>
      <c r="E11" s="24" t="n">
        <v>0</v>
      </c>
      <c r="F11" s="24" t="n">
        <v>0</v>
      </c>
      <c r="G11" s="24" t="n">
        <v>3261.92</v>
      </c>
      <c r="H11" s="24" t="n">
        <v>0</v>
      </c>
      <c r="I11" s="24" t="n">
        <f aca="false">G11+H11</f>
        <v>3261.92</v>
      </c>
      <c r="J11" s="24" t="n">
        <f aca="false">D11-I11</f>
        <v>0</v>
      </c>
      <c r="K11" s="25" t="s">
        <v>83</v>
      </c>
      <c r="L11" s="25" t="s">
        <v>84</v>
      </c>
    </row>
    <row r="12" customFormat="false" ht="15" hidden="false" customHeight="false" outlineLevel="0" collapsed="false">
      <c r="A12" s="23" t="n">
        <v>3</v>
      </c>
      <c r="B12" s="23" t="s">
        <v>24</v>
      </c>
      <c r="C12" s="23" t="s">
        <v>15</v>
      </c>
      <c r="D12" s="24" t="n">
        <v>2700.93</v>
      </c>
      <c r="E12" s="24" t="n">
        <v>0</v>
      </c>
      <c r="F12" s="24" t="n">
        <v>0</v>
      </c>
      <c r="G12" s="24" t="n">
        <v>1338.64</v>
      </c>
      <c r="H12" s="24" t="n">
        <v>159.48</v>
      </c>
      <c r="I12" s="24" t="n">
        <f aca="false">G12+H12</f>
        <v>1498.12</v>
      </c>
      <c r="J12" s="24" t="n">
        <f aca="false">D12-I12</f>
        <v>1202.81</v>
      </c>
      <c r="K12" s="25" t="s">
        <v>85</v>
      </c>
      <c r="L12" s="25" t="s">
        <v>86</v>
      </c>
    </row>
    <row r="13" customFormat="false" ht="15" hidden="false" customHeight="false" outlineLevel="0" collapsed="false">
      <c r="A13" s="26"/>
      <c r="B13" s="27" t="s">
        <v>28</v>
      </c>
      <c r="C13" s="26"/>
      <c r="D13" s="28" t="n">
        <f aca="false">SUM(D10:D12)</f>
        <v>32251.52</v>
      </c>
      <c r="E13" s="28" t="n">
        <f aca="false">SUM(E10:E12)</f>
        <v>0</v>
      </c>
      <c r="F13" s="28" t="n">
        <f aca="false">SUM(F10:F12)</f>
        <v>0</v>
      </c>
      <c r="G13" s="28" t="n">
        <f aca="false">SUM(G10:G12)</f>
        <v>11810</v>
      </c>
      <c r="H13" s="28" t="n">
        <f aca="false">SUM(H10:H12)</f>
        <v>1115.43</v>
      </c>
      <c r="I13" s="28" t="n">
        <f aca="false">SUM(I10:I12)</f>
        <v>12925.43</v>
      </c>
      <c r="J13" s="28" t="n">
        <f aca="false">SUM(J10:J12)</f>
        <v>19326.09</v>
      </c>
      <c r="K13" s="26"/>
      <c r="L13" s="26"/>
    </row>
    <row r="15" customFormat="false" ht="15" hidden="false" customHeight="false" outlineLevel="0" collapsed="false">
      <c r="A15" s="21" t="s">
        <v>87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4" t="s">
        <v>75</v>
      </c>
      <c r="H16" s="4" t="s">
        <v>76</v>
      </c>
      <c r="I16" s="4" t="s">
        <v>77</v>
      </c>
      <c r="J16" s="4" t="s">
        <v>78</v>
      </c>
      <c r="K16" s="4" t="s">
        <v>79</v>
      </c>
      <c r="L16" s="4" t="s">
        <v>80</v>
      </c>
    </row>
    <row r="17" customFormat="false" ht="15" hidden="false" customHeight="false" outlineLevel="0" collapsed="false">
      <c r="A17" s="23" t="n">
        <v>1</v>
      </c>
      <c r="B17" s="23" t="s">
        <v>42</v>
      </c>
      <c r="C17" s="23" t="s">
        <v>15</v>
      </c>
      <c r="D17" s="24" t="n">
        <v>6825.37</v>
      </c>
      <c r="E17" s="24" t="n">
        <v>0</v>
      </c>
      <c r="F17" s="24" t="n">
        <v>0</v>
      </c>
      <c r="G17" s="24" t="n">
        <v>6825.37</v>
      </c>
      <c r="H17" s="24" t="n">
        <v>0</v>
      </c>
      <c r="I17" s="24" t="n">
        <f aca="false">G17+H17</f>
        <v>6825.37</v>
      </c>
      <c r="J17" s="24" t="n">
        <f aca="false">D17-I17</f>
        <v>0</v>
      </c>
      <c r="K17" s="25" t="s">
        <v>83</v>
      </c>
      <c r="L17" s="25" t="s">
        <v>84</v>
      </c>
    </row>
    <row r="18" customFormat="false" ht="15" hidden="false" customHeight="false" outlineLevel="0" collapsed="false">
      <c r="A18" s="23" t="n">
        <v>2</v>
      </c>
      <c r="B18" s="23" t="s">
        <v>43</v>
      </c>
      <c r="C18" s="23" t="s">
        <v>15</v>
      </c>
      <c r="D18" s="24" t="n">
        <v>19463.3</v>
      </c>
      <c r="E18" s="24" t="n">
        <v>0</v>
      </c>
      <c r="F18" s="24" t="n">
        <v>0</v>
      </c>
      <c r="G18" s="24" t="n">
        <v>5337.69</v>
      </c>
      <c r="H18" s="24" t="n">
        <v>707.76</v>
      </c>
      <c r="I18" s="24" t="n">
        <f aca="false">G18+H18</f>
        <v>6045.45</v>
      </c>
      <c r="J18" s="24" t="n">
        <f aca="false">D18-I18</f>
        <v>13417.85</v>
      </c>
      <c r="K18" s="25" t="s">
        <v>81</v>
      </c>
      <c r="L18" s="25" t="s">
        <v>82</v>
      </c>
    </row>
    <row r="19" customFormat="false" ht="15" hidden="false" customHeight="false" outlineLevel="0" collapsed="false">
      <c r="A19" s="23" t="n">
        <v>3</v>
      </c>
      <c r="B19" s="23" t="s">
        <v>44</v>
      </c>
      <c r="C19" s="23" t="s">
        <v>15</v>
      </c>
      <c r="D19" s="24" t="n">
        <v>846.9</v>
      </c>
      <c r="E19" s="24" t="n">
        <v>0</v>
      </c>
      <c r="F19" s="24" t="n">
        <v>0</v>
      </c>
      <c r="G19" s="24" t="n">
        <v>846.9</v>
      </c>
      <c r="H19" s="24" t="n">
        <v>0</v>
      </c>
      <c r="I19" s="24" t="n">
        <f aca="false">G19+H19</f>
        <v>846.9</v>
      </c>
      <c r="J19" s="24" t="n">
        <f aca="false">D19-I19</f>
        <v>0</v>
      </c>
      <c r="K19" s="25" t="s">
        <v>83</v>
      </c>
      <c r="L19" s="25" t="s">
        <v>84</v>
      </c>
    </row>
    <row r="20" customFormat="false" ht="15" hidden="false" customHeight="false" outlineLevel="0" collapsed="false">
      <c r="A20" s="23" t="n">
        <v>4</v>
      </c>
      <c r="B20" s="23" t="s">
        <v>45</v>
      </c>
      <c r="C20" s="23" t="s">
        <v>15</v>
      </c>
      <c r="D20" s="24" t="n">
        <v>2415.02</v>
      </c>
      <c r="E20" s="24" t="n">
        <v>0</v>
      </c>
      <c r="F20" s="24" t="n">
        <v>0</v>
      </c>
      <c r="G20" s="24" t="n">
        <v>662.31</v>
      </c>
      <c r="H20" s="24" t="n">
        <v>87.82</v>
      </c>
      <c r="I20" s="24" t="n">
        <f aca="false">G20+H20</f>
        <v>750.13</v>
      </c>
      <c r="J20" s="24" t="n">
        <f aca="false">D20-I20</f>
        <v>1664.89</v>
      </c>
      <c r="K20" s="25" t="s">
        <v>81</v>
      </c>
      <c r="L20" s="25" t="s">
        <v>82</v>
      </c>
    </row>
    <row r="21" customFormat="false" ht="15" hidden="false" customHeight="false" outlineLevel="0" collapsed="false">
      <c r="A21" s="23" t="n">
        <v>5</v>
      </c>
      <c r="B21" s="23" t="s">
        <v>46</v>
      </c>
      <c r="C21" s="23" t="s">
        <v>15</v>
      </c>
      <c r="D21" s="24" t="n">
        <v>701.24</v>
      </c>
      <c r="E21" s="24" t="n">
        <v>0</v>
      </c>
      <c r="F21" s="24" t="n">
        <v>0</v>
      </c>
      <c r="G21" s="24" t="n">
        <v>701.24</v>
      </c>
      <c r="H21" s="24" t="n">
        <v>0</v>
      </c>
      <c r="I21" s="24" t="n">
        <f aca="false">G21+H21</f>
        <v>701.24</v>
      </c>
      <c r="J21" s="24" t="n">
        <f aca="false">D21-I21</f>
        <v>0</v>
      </c>
      <c r="K21" s="25" t="s">
        <v>83</v>
      </c>
      <c r="L21" s="25" t="s">
        <v>84</v>
      </c>
    </row>
    <row r="22" customFormat="false" ht="15" hidden="false" customHeight="false" outlineLevel="0" collapsed="false">
      <c r="A22" s="23" t="n">
        <v>6</v>
      </c>
      <c r="B22" s="23" t="s">
        <v>47</v>
      </c>
      <c r="C22" s="23" t="s">
        <v>15</v>
      </c>
      <c r="D22" s="24" t="n">
        <v>1999.69</v>
      </c>
      <c r="E22" s="24" t="n">
        <v>0</v>
      </c>
      <c r="F22" s="24" t="n">
        <v>0</v>
      </c>
      <c r="G22" s="24" t="n">
        <v>548.43</v>
      </c>
      <c r="H22" s="24" t="n">
        <v>72.72</v>
      </c>
      <c r="I22" s="24" t="n">
        <f aca="false">G22+H22</f>
        <v>621.15</v>
      </c>
      <c r="J22" s="24" t="n">
        <f aca="false">D22-I22</f>
        <v>1378.54</v>
      </c>
      <c r="K22" s="25" t="s">
        <v>81</v>
      </c>
      <c r="L22" s="25" t="s">
        <v>82</v>
      </c>
    </row>
    <row r="23" customFormat="false" ht="15" hidden="false" customHeight="false" outlineLevel="0" collapsed="false">
      <c r="A23" s="26"/>
      <c r="B23" s="27" t="s">
        <v>28</v>
      </c>
      <c r="C23" s="26"/>
      <c r="D23" s="28" t="n">
        <f aca="false">SUM(D17:D22)</f>
        <v>32251.52</v>
      </c>
      <c r="E23" s="28" t="n">
        <f aca="false">SUM(E17:E22)</f>
        <v>0</v>
      </c>
      <c r="F23" s="28" t="n">
        <f aca="false">SUM(F17:F22)</f>
        <v>0</v>
      </c>
      <c r="G23" s="28" t="n">
        <f aca="false">SUM(G17:G22)</f>
        <v>14921.94</v>
      </c>
      <c r="H23" s="28" t="n">
        <f aca="false">SUM(H17:H22)</f>
        <v>868.3</v>
      </c>
      <c r="I23" s="28" t="n">
        <f aca="false">SUM(I17:I22)</f>
        <v>15790.24</v>
      </c>
      <c r="J23" s="28" t="n">
        <f aca="false">SUM(J17:J22)</f>
        <v>16461.28</v>
      </c>
      <c r="K23" s="26"/>
      <c r="L23" s="26"/>
    </row>
    <row r="25" customFormat="false" ht="15" hidden="false" customHeight="false" outlineLevel="0" collapsed="false">
      <c r="B25" s="18" t="s">
        <v>88</v>
      </c>
    </row>
    <row r="26" customFormat="false" ht="15" hidden="false" customHeight="false" outlineLevel="0" collapsed="false">
      <c r="B26" s="5" t="s">
        <v>89</v>
      </c>
      <c r="D26" s="6" t="n">
        <f aca="false">I13</f>
        <v>12925.43</v>
      </c>
    </row>
    <row r="27" customFormat="false" ht="15" hidden="false" customHeight="false" outlineLevel="0" collapsed="false">
      <c r="B27" s="5" t="s">
        <v>90</v>
      </c>
      <c r="D27" s="6" t="n">
        <f aca="false">I23</f>
        <v>15790.24</v>
      </c>
    </row>
    <row r="28" customFormat="false" ht="15" hidden="false" customHeight="false" outlineLevel="0" collapsed="false">
      <c r="B28" s="11" t="s">
        <v>88</v>
      </c>
      <c r="D28" s="29" t="n">
        <f aca="false">D26-D27</f>
        <v>-2864.81</v>
      </c>
    </row>
    <row r="30" customFormat="false" ht="15" hidden="false" customHeight="false" outlineLevel="0" collapsed="false">
      <c r="A30" s="10" t="s">
        <v>91</v>
      </c>
    </row>
    <row r="31" customFormat="false" ht="15" hidden="false" customHeight="false" outlineLevel="0" collapsed="false">
      <c r="A31" s="21" t="s">
        <v>92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69</v>
      </c>
      <c r="B32" s="4" t="s">
        <v>70</v>
      </c>
      <c r="C32" s="4" t="s">
        <v>71</v>
      </c>
      <c r="D32" s="4" t="s">
        <v>72</v>
      </c>
      <c r="E32" s="4" t="s">
        <v>73</v>
      </c>
      <c r="F32" s="4" t="s">
        <v>74</v>
      </c>
      <c r="G32" s="4" t="s">
        <v>93</v>
      </c>
      <c r="H32" s="4" t="s">
        <v>94</v>
      </c>
      <c r="I32" s="4" t="s">
        <v>77</v>
      </c>
      <c r="J32" s="4" t="s">
        <v>78</v>
      </c>
      <c r="K32" s="4" t="s">
        <v>79</v>
      </c>
      <c r="L32" s="4" t="s">
        <v>80</v>
      </c>
    </row>
    <row r="33" customFormat="false" ht="15" hidden="false" customHeight="false" outlineLevel="0" collapsed="false">
      <c r="A33" s="23" t="n">
        <v>1</v>
      </c>
      <c r="B33" s="23" t="s">
        <v>22</v>
      </c>
      <c r="C33" s="23" t="s">
        <v>15</v>
      </c>
      <c r="D33" s="24" t="n">
        <v>26288.67</v>
      </c>
      <c r="E33" s="24" t="n">
        <v>0</v>
      </c>
      <c r="F33" s="24" t="n">
        <v>0</v>
      </c>
      <c r="G33" s="24" t="n">
        <v>7209.44</v>
      </c>
      <c r="H33" s="24" t="n">
        <v>955.95</v>
      </c>
      <c r="I33" s="24" t="n">
        <f aca="false">G33+H33</f>
        <v>8165.39</v>
      </c>
      <c r="J33" s="24" t="n">
        <f aca="false">D33-I33</f>
        <v>18123.28</v>
      </c>
      <c r="K33" s="25" t="s">
        <v>81</v>
      </c>
      <c r="L33" s="25" t="s">
        <v>82</v>
      </c>
    </row>
    <row r="34" customFormat="false" ht="15" hidden="false" customHeight="false" outlineLevel="0" collapsed="false">
      <c r="A34" s="23" t="n">
        <v>2</v>
      </c>
      <c r="B34" s="23" t="s">
        <v>23</v>
      </c>
      <c r="C34" s="23" t="s">
        <v>15</v>
      </c>
      <c r="D34" s="24" t="n">
        <v>3261.92</v>
      </c>
      <c r="E34" s="24" t="n">
        <v>0</v>
      </c>
      <c r="F34" s="24" t="n">
        <v>0</v>
      </c>
      <c r="G34" s="24" t="n">
        <v>3261.92</v>
      </c>
      <c r="H34" s="24" t="n">
        <v>0</v>
      </c>
      <c r="I34" s="24" t="n">
        <f aca="false">G34+H34</f>
        <v>3261.92</v>
      </c>
      <c r="J34" s="24" t="n">
        <f aca="false">D34-I34</f>
        <v>0</v>
      </c>
      <c r="K34" s="25" t="s">
        <v>83</v>
      </c>
      <c r="L34" s="25" t="s">
        <v>84</v>
      </c>
    </row>
    <row r="35" customFormat="false" ht="15" hidden="false" customHeight="false" outlineLevel="0" collapsed="false">
      <c r="A35" s="23" t="n">
        <v>3</v>
      </c>
      <c r="B35" s="23" t="s">
        <v>24</v>
      </c>
      <c r="C35" s="23" t="s">
        <v>15</v>
      </c>
      <c r="D35" s="24" t="n">
        <v>2700.93</v>
      </c>
      <c r="E35" s="24" t="n">
        <v>0</v>
      </c>
      <c r="F35" s="24" t="n">
        <v>0</v>
      </c>
      <c r="G35" s="24" t="n">
        <v>1338.64</v>
      </c>
      <c r="H35" s="24" t="n">
        <v>159.48</v>
      </c>
      <c r="I35" s="24" t="n">
        <f aca="false">G35+H35</f>
        <v>1498.12</v>
      </c>
      <c r="J35" s="24" t="n">
        <f aca="false">D35-I35</f>
        <v>1202.81</v>
      </c>
      <c r="K35" s="25" t="s">
        <v>85</v>
      </c>
      <c r="L35" s="25" t="s">
        <v>86</v>
      </c>
    </row>
    <row r="36" customFormat="false" ht="15" hidden="false" customHeight="false" outlineLevel="0" collapsed="false">
      <c r="A36" s="26"/>
      <c r="B36" s="27" t="s">
        <v>28</v>
      </c>
      <c r="C36" s="26"/>
      <c r="D36" s="28" t="n">
        <f aca="false">SUM(D33:D35)</f>
        <v>32251.52</v>
      </c>
      <c r="E36" s="28" t="n">
        <f aca="false">SUM(E33:E35)</f>
        <v>0</v>
      </c>
      <c r="F36" s="28" t="n">
        <f aca="false">SUM(F33:F35)</f>
        <v>0</v>
      </c>
      <c r="G36" s="28" t="n">
        <f aca="false">SUM(G33:G35)</f>
        <v>11810</v>
      </c>
      <c r="H36" s="28" t="n">
        <f aca="false">SUM(H33:H35)</f>
        <v>1115.43</v>
      </c>
      <c r="I36" s="28" t="n">
        <f aca="false">SUM(I33:I35)</f>
        <v>12925.43</v>
      </c>
      <c r="J36" s="28" t="n">
        <f aca="false">SUM(J33:J35)</f>
        <v>19326.09</v>
      </c>
      <c r="K36" s="26"/>
      <c r="L36" s="26"/>
    </row>
    <row r="38" customFormat="false" ht="15" hidden="false" customHeight="false" outlineLevel="0" collapsed="false">
      <c r="A38" s="21" t="s">
        <v>95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69</v>
      </c>
      <c r="B39" s="4" t="s">
        <v>70</v>
      </c>
      <c r="C39" s="4" t="s">
        <v>71</v>
      </c>
      <c r="D39" s="4" t="s">
        <v>72</v>
      </c>
      <c r="E39" s="4" t="s">
        <v>73</v>
      </c>
      <c r="F39" s="4" t="s">
        <v>74</v>
      </c>
      <c r="G39" s="4" t="s">
        <v>93</v>
      </c>
      <c r="H39" s="4" t="s">
        <v>94</v>
      </c>
      <c r="I39" s="4" t="s">
        <v>77</v>
      </c>
      <c r="J39" s="4" t="s">
        <v>78</v>
      </c>
      <c r="K39" s="4" t="s">
        <v>79</v>
      </c>
      <c r="L39" s="4" t="s">
        <v>80</v>
      </c>
    </row>
    <row r="40" customFormat="false" ht="15" hidden="false" customHeight="false" outlineLevel="0" collapsed="false">
      <c r="A40" s="23" t="n">
        <v>1</v>
      </c>
      <c r="B40" s="23" t="s">
        <v>42</v>
      </c>
      <c r="C40" s="23" t="s">
        <v>15</v>
      </c>
      <c r="D40" s="24" t="n">
        <v>6825.37</v>
      </c>
      <c r="E40" s="24" t="n">
        <v>0</v>
      </c>
      <c r="F40" s="24" t="n">
        <v>0</v>
      </c>
      <c r="G40" s="24" t="n">
        <v>6825.37</v>
      </c>
      <c r="H40" s="24" t="n">
        <v>0</v>
      </c>
      <c r="I40" s="24" t="n">
        <f aca="false">G40+H40</f>
        <v>6825.37</v>
      </c>
      <c r="J40" s="24" t="n">
        <f aca="false">D40-I40</f>
        <v>0</v>
      </c>
      <c r="K40" s="25" t="s">
        <v>83</v>
      </c>
      <c r="L40" s="25" t="s">
        <v>84</v>
      </c>
    </row>
    <row r="41" customFormat="false" ht="15" hidden="false" customHeight="false" outlineLevel="0" collapsed="false">
      <c r="A41" s="23" t="n">
        <v>2</v>
      </c>
      <c r="B41" s="23" t="s">
        <v>43</v>
      </c>
      <c r="C41" s="23" t="s">
        <v>15</v>
      </c>
      <c r="D41" s="24" t="n">
        <v>19463.3</v>
      </c>
      <c r="E41" s="24" t="n">
        <v>0</v>
      </c>
      <c r="F41" s="24" t="n">
        <v>0</v>
      </c>
      <c r="G41" s="24" t="n">
        <v>5337.69</v>
      </c>
      <c r="H41" s="24" t="n">
        <v>707.76</v>
      </c>
      <c r="I41" s="24" t="n">
        <f aca="false">G41+H41</f>
        <v>6045.45</v>
      </c>
      <c r="J41" s="24" t="n">
        <f aca="false">D41-I41</f>
        <v>13417.85</v>
      </c>
      <c r="K41" s="25" t="s">
        <v>81</v>
      </c>
      <c r="L41" s="25" t="s">
        <v>82</v>
      </c>
    </row>
    <row r="42" customFormat="false" ht="15" hidden="false" customHeight="false" outlineLevel="0" collapsed="false">
      <c r="A42" s="23" t="n">
        <v>3</v>
      </c>
      <c r="B42" s="23" t="s">
        <v>44</v>
      </c>
      <c r="C42" s="23" t="s">
        <v>15</v>
      </c>
      <c r="D42" s="24" t="n">
        <v>846.9</v>
      </c>
      <c r="E42" s="24" t="n">
        <v>0</v>
      </c>
      <c r="F42" s="24" t="n">
        <v>0</v>
      </c>
      <c r="G42" s="24" t="n">
        <v>846.9</v>
      </c>
      <c r="H42" s="24" t="n">
        <v>0</v>
      </c>
      <c r="I42" s="24" t="n">
        <f aca="false">G42+H42</f>
        <v>846.9</v>
      </c>
      <c r="J42" s="24" t="n">
        <f aca="false">D42-I42</f>
        <v>0</v>
      </c>
      <c r="K42" s="25" t="s">
        <v>83</v>
      </c>
      <c r="L42" s="25" t="s">
        <v>84</v>
      </c>
    </row>
    <row r="43" customFormat="false" ht="15" hidden="false" customHeight="false" outlineLevel="0" collapsed="false">
      <c r="A43" s="23" t="n">
        <v>4</v>
      </c>
      <c r="B43" s="23" t="s">
        <v>45</v>
      </c>
      <c r="C43" s="23" t="s">
        <v>15</v>
      </c>
      <c r="D43" s="24" t="n">
        <v>2415.02</v>
      </c>
      <c r="E43" s="24" t="n">
        <v>0</v>
      </c>
      <c r="F43" s="24" t="n">
        <v>0</v>
      </c>
      <c r="G43" s="24" t="n">
        <v>662.31</v>
      </c>
      <c r="H43" s="24" t="n">
        <v>87.82</v>
      </c>
      <c r="I43" s="24" t="n">
        <f aca="false">G43+H43</f>
        <v>750.13</v>
      </c>
      <c r="J43" s="24" t="n">
        <f aca="false">D43-I43</f>
        <v>1664.89</v>
      </c>
      <c r="K43" s="25" t="s">
        <v>81</v>
      </c>
      <c r="L43" s="25" t="s">
        <v>82</v>
      </c>
    </row>
    <row r="44" customFormat="false" ht="15" hidden="false" customHeight="false" outlineLevel="0" collapsed="false">
      <c r="A44" s="23" t="n">
        <v>5</v>
      </c>
      <c r="B44" s="23" t="s">
        <v>46</v>
      </c>
      <c r="C44" s="23" t="s">
        <v>15</v>
      </c>
      <c r="D44" s="24" t="n">
        <v>701.24</v>
      </c>
      <c r="E44" s="24" t="n">
        <v>0</v>
      </c>
      <c r="F44" s="24" t="n">
        <v>0</v>
      </c>
      <c r="G44" s="24" t="n">
        <v>701.24</v>
      </c>
      <c r="H44" s="24" t="n">
        <v>0</v>
      </c>
      <c r="I44" s="24" t="n">
        <f aca="false">G44+H44</f>
        <v>701.24</v>
      </c>
      <c r="J44" s="24" t="n">
        <f aca="false">D44-I44</f>
        <v>0</v>
      </c>
      <c r="K44" s="25" t="s">
        <v>83</v>
      </c>
      <c r="L44" s="25" t="s">
        <v>84</v>
      </c>
    </row>
    <row r="45" customFormat="false" ht="15" hidden="false" customHeight="false" outlineLevel="0" collapsed="false">
      <c r="A45" s="23" t="n">
        <v>6</v>
      </c>
      <c r="B45" s="23" t="s">
        <v>47</v>
      </c>
      <c r="C45" s="23" t="s">
        <v>15</v>
      </c>
      <c r="D45" s="24" t="n">
        <v>1999.69</v>
      </c>
      <c r="E45" s="24" t="n">
        <v>0</v>
      </c>
      <c r="F45" s="24" t="n">
        <v>0</v>
      </c>
      <c r="G45" s="24" t="n">
        <v>548.43</v>
      </c>
      <c r="H45" s="24" t="n">
        <v>72.72</v>
      </c>
      <c r="I45" s="24" t="n">
        <f aca="false">G45+H45</f>
        <v>621.15</v>
      </c>
      <c r="J45" s="24" t="n">
        <f aca="false">D45-I45</f>
        <v>1378.54</v>
      </c>
      <c r="K45" s="25" t="s">
        <v>81</v>
      </c>
      <c r="L45" s="25" t="s">
        <v>82</v>
      </c>
    </row>
    <row r="46" customFormat="false" ht="15" hidden="false" customHeight="false" outlineLevel="0" collapsed="false">
      <c r="A46" s="26"/>
      <c r="B46" s="27" t="s">
        <v>28</v>
      </c>
      <c r="C46" s="26"/>
      <c r="D46" s="28" t="n">
        <f aca="false">SUM(D40:D45)</f>
        <v>32251.52</v>
      </c>
      <c r="E46" s="28" t="n">
        <f aca="false">SUM(E40:E45)</f>
        <v>0</v>
      </c>
      <c r="F46" s="28" t="n">
        <f aca="false">SUM(F40:F45)</f>
        <v>0</v>
      </c>
      <c r="G46" s="28" t="n">
        <f aca="false">SUM(G40:G45)</f>
        <v>14921.94</v>
      </c>
      <c r="H46" s="28" t="n">
        <f aca="false">SUM(H40:H45)</f>
        <v>868.3</v>
      </c>
      <c r="I46" s="28" t="n">
        <f aca="false">SUM(I40:I45)</f>
        <v>15790.24</v>
      </c>
      <c r="J46" s="28" t="n">
        <f aca="false">SUM(J40:J45)</f>
        <v>16461.28</v>
      </c>
      <c r="K46" s="26"/>
      <c r="L46" s="26"/>
    </row>
    <row r="48" customFormat="false" ht="15" hidden="false" customHeight="false" outlineLevel="0" collapsed="false">
      <c r="B48" s="18" t="s">
        <v>96</v>
      </c>
    </row>
    <row r="49" customFormat="false" ht="15" hidden="false" customHeight="false" outlineLevel="0" collapsed="false">
      <c r="B49" s="5" t="s">
        <v>89</v>
      </c>
      <c r="D49" s="6" t="n">
        <f aca="false">I36</f>
        <v>12925.43</v>
      </c>
    </row>
    <row r="50" customFormat="false" ht="15" hidden="false" customHeight="false" outlineLevel="0" collapsed="false">
      <c r="B50" s="5" t="s">
        <v>90</v>
      </c>
      <c r="D50" s="6" t="n">
        <f aca="false">I46</f>
        <v>15790.24</v>
      </c>
    </row>
    <row r="51" customFormat="false" ht="15" hidden="false" customHeight="false" outlineLevel="0" collapsed="false">
      <c r="B51" s="11" t="s">
        <v>96</v>
      </c>
      <c r="D51" s="29" t="n">
        <f aca="false">D49-D50</f>
        <v>-2864.81</v>
      </c>
    </row>
    <row r="53" customFormat="false" ht="15" hidden="false" customHeight="false" outlineLevel="0" collapsed="false">
      <c r="A53" s="10" t="s">
        <v>97</v>
      </c>
    </row>
    <row r="54" customFormat="false" ht="15" hidden="false" customHeight="false" outlineLevel="0" collapsed="false">
      <c r="B54" s="11" t="s">
        <v>123</v>
      </c>
      <c r="D54" s="12" t="n">
        <f aca="false">D88</f>
        <v>32251.52</v>
      </c>
    </row>
    <row r="55" customFormat="false" ht="15" hidden="false" customHeight="false" outlineLevel="0" collapsed="false">
      <c r="B55" s="5" t="s">
        <v>124</v>
      </c>
      <c r="D55" s="6" t="n">
        <f aca="false">F88</f>
        <v>8373.51</v>
      </c>
    </row>
    <row r="56" customFormat="false" ht="15" hidden="false" customHeight="false" outlineLevel="0" collapsed="false">
      <c r="B56" s="30" t="s">
        <v>100</v>
      </c>
      <c r="D56" s="31" t="n">
        <f aca="false">F89</f>
        <v>0.259631484035481</v>
      </c>
    </row>
    <row r="57" customFormat="false" ht="15" hidden="false" customHeight="false" outlineLevel="0" collapsed="false">
      <c r="B57" s="5" t="s">
        <v>125</v>
      </c>
      <c r="D57" s="6" t="n">
        <f aca="false">H88</f>
        <v>23878.01</v>
      </c>
    </row>
    <row r="58" customFormat="false" ht="15" hidden="false" customHeight="false" outlineLevel="0" collapsed="false">
      <c r="B58" s="30" t="s">
        <v>100</v>
      </c>
      <c r="D58" s="31" t="n">
        <f aca="false">H89</f>
        <v>0.740368515964519</v>
      </c>
    </row>
    <row r="60" customFormat="false" ht="15" hidden="false" customHeight="false" outlineLevel="0" collapsed="false">
      <c r="A60" s="10" t="s">
        <v>102</v>
      </c>
    </row>
    <row r="61" customFormat="false" ht="15" hidden="false" customHeight="false" outlineLevel="0" collapsed="false">
      <c r="B61" s="4" t="s">
        <v>103</v>
      </c>
      <c r="D61" s="4" t="s">
        <v>72</v>
      </c>
      <c r="F61" s="4" t="s">
        <v>126</v>
      </c>
      <c r="H61" s="4" t="s">
        <v>105</v>
      </c>
    </row>
    <row r="62" customFormat="false" ht="15" hidden="false" customHeight="false" outlineLevel="0" collapsed="false">
      <c r="B62" s="32" t="s">
        <v>127</v>
      </c>
    </row>
    <row r="63" customFormat="false" ht="15" hidden="false" customHeight="false" outlineLevel="0" collapsed="false">
      <c r="B63" s="5" t="s">
        <v>128</v>
      </c>
      <c r="D63" s="33" t="n">
        <f aca="false">SUM(F63:H63)</f>
        <v>148.53</v>
      </c>
      <c r="F63" s="33" t="n">
        <v>148.53</v>
      </c>
    </row>
    <row r="64" customFormat="false" ht="15" hidden="false" customHeight="false" outlineLevel="0" collapsed="false">
      <c r="B64" s="5" t="s">
        <v>129</v>
      </c>
      <c r="D64" s="33" t="n">
        <f aca="false">SUM(F64:H64)</f>
        <v>292.56</v>
      </c>
      <c r="F64" s="33" t="n">
        <v>292.56</v>
      </c>
    </row>
    <row r="65" customFormat="false" ht="15" hidden="false" customHeight="false" outlineLevel="0" collapsed="false">
      <c r="B65" s="5" t="s">
        <v>130</v>
      </c>
      <c r="D65" s="33" t="n">
        <f aca="false">SUM(F65:H65)</f>
        <v>855.53</v>
      </c>
      <c r="F65" s="33" t="n">
        <v>855.53</v>
      </c>
    </row>
    <row r="66" customFormat="false" ht="15" hidden="false" customHeight="false" outlineLevel="0" collapsed="false">
      <c r="B66" s="5" t="s">
        <v>166</v>
      </c>
      <c r="D66" s="33" t="n">
        <f aca="false">SUM(F66:H66)</f>
        <v>145.41</v>
      </c>
      <c r="F66" s="33" t="n">
        <v>145.41</v>
      </c>
    </row>
    <row r="67" customFormat="false" ht="15" hidden="false" customHeight="false" outlineLevel="0" collapsed="false">
      <c r="B67" s="5" t="s">
        <v>133</v>
      </c>
      <c r="D67" s="33" t="n">
        <f aca="false">SUM(F67:H67)</f>
        <v>383.89</v>
      </c>
      <c r="F67" s="33" t="n">
        <v>383.89</v>
      </c>
    </row>
    <row r="68" customFormat="false" ht="15" hidden="false" customHeight="false" outlineLevel="0" collapsed="false">
      <c r="B68" s="5" t="s">
        <v>167</v>
      </c>
      <c r="D68" s="33" t="n">
        <f aca="false">SUM(F68:H68)</f>
        <v>231.79</v>
      </c>
      <c r="F68" s="33" t="n">
        <v>231.79</v>
      </c>
    </row>
    <row r="69" customFormat="false" ht="15" hidden="false" customHeight="false" outlineLevel="0" collapsed="false">
      <c r="B69" s="5" t="s">
        <v>136</v>
      </c>
      <c r="D69" s="33" t="n">
        <f aca="false">SUM(F69:H69)</f>
        <v>1223.14</v>
      </c>
      <c r="F69" s="33" t="n">
        <v>1223.14</v>
      </c>
    </row>
    <row r="70" customFormat="false" ht="15" hidden="false" customHeight="false" outlineLevel="0" collapsed="false">
      <c r="B70" s="5" t="s">
        <v>137</v>
      </c>
      <c r="D70" s="33" t="n">
        <f aca="false">SUM(F70:H70)</f>
        <v>199.38</v>
      </c>
      <c r="F70" s="33" t="n">
        <v>199.38</v>
      </c>
    </row>
    <row r="71" customFormat="false" ht="15" hidden="false" customHeight="false" outlineLevel="0" collapsed="false">
      <c r="B71" s="5" t="s">
        <v>168</v>
      </c>
      <c r="D71" s="33" t="n">
        <f aca="false">SUM(F71:H71)</f>
        <v>967.76</v>
      </c>
      <c r="F71" s="33" t="n">
        <v>967.76</v>
      </c>
    </row>
    <row r="72" customFormat="false" ht="15" hidden="false" customHeight="false" outlineLevel="0" collapsed="false">
      <c r="B72" s="5" t="s">
        <v>139</v>
      </c>
      <c r="D72" s="33" t="n">
        <f aca="false">SUM(F72:H72)</f>
        <v>574.11</v>
      </c>
      <c r="F72" s="33" t="n">
        <v>574.11</v>
      </c>
    </row>
    <row r="73" customFormat="false" ht="15" hidden="false" customHeight="false" outlineLevel="0" collapsed="false">
      <c r="B73" s="5" t="s">
        <v>141</v>
      </c>
      <c r="D73" s="33" t="n">
        <f aca="false">SUM(F73:H73)</f>
        <v>3351.41</v>
      </c>
      <c r="F73" s="33" t="n">
        <v>3351.41</v>
      </c>
    </row>
    <row r="74" customFormat="false" ht="15" hidden="false" customHeight="false" outlineLevel="0" collapsed="false">
      <c r="B74" s="32" t="s">
        <v>142</v>
      </c>
    </row>
    <row r="75" customFormat="false" ht="15" hidden="false" customHeight="false" outlineLevel="0" collapsed="false">
      <c r="B75" s="5" t="s">
        <v>143</v>
      </c>
      <c r="D75" s="33" t="n">
        <f aca="false">SUM(F75:H75)</f>
        <v>2719.68</v>
      </c>
      <c r="H75" s="33" t="n">
        <v>2719.68</v>
      </c>
    </row>
    <row r="76" customFormat="false" ht="15" hidden="false" customHeight="false" outlineLevel="0" collapsed="false">
      <c r="B76" s="5" t="s">
        <v>144</v>
      </c>
      <c r="D76" s="33" t="n">
        <f aca="false">SUM(F76:H76)</f>
        <v>3519.01</v>
      </c>
      <c r="H76" s="33" t="n">
        <v>3519.01</v>
      </c>
    </row>
    <row r="77" customFormat="false" ht="15" hidden="false" customHeight="false" outlineLevel="0" collapsed="false">
      <c r="B77" s="5" t="s">
        <v>145</v>
      </c>
      <c r="D77" s="33" t="n">
        <f aca="false">SUM(F77:H77)</f>
        <v>2302.98</v>
      </c>
      <c r="H77" s="33" t="n">
        <v>2302.98</v>
      </c>
    </row>
    <row r="78" customFormat="false" ht="15" hidden="false" customHeight="false" outlineLevel="0" collapsed="false">
      <c r="B78" s="5" t="s">
        <v>146</v>
      </c>
      <c r="D78" s="33" t="n">
        <f aca="false">SUM(F78:H78)</f>
        <v>2425.62</v>
      </c>
      <c r="H78" s="33" t="n">
        <v>2425.62</v>
      </c>
    </row>
    <row r="79" customFormat="false" ht="15" hidden="false" customHeight="false" outlineLevel="0" collapsed="false">
      <c r="B79" s="5" t="s">
        <v>148</v>
      </c>
      <c r="D79" s="33" t="n">
        <f aca="false">SUM(F79:H79)</f>
        <v>317.12</v>
      </c>
      <c r="H79" s="33" t="n">
        <v>317.12</v>
      </c>
    </row>
    <row r="80" customFormat="false" ht="15" hidden="false" customHeight="false" outlineLevel="0" collapsed="false">
      <c r="B80" s="5" t="s">
        <v>149</v>
      </c>
      <c r="D80" s="33" t="n">
        <f aca="false">SUM(F80:H80)</f>
        <v>1711.27</v>
      </c>
      <c r="H80" s="33" t="n">
        <v>1711.27</v>
      </c>
    </row>
    <row r="81" customFormat="false" ht="15" hidden="false" customHeight="false" outlineLevel="0" collapsed="false">
      <c r="B81" s="5" t="s">
        <v>150</v>
      </c>
      <c r="D81" s="33" t="n">
        <f aca="false">SUM(F81:H81)</f>
        <v>1055.79</v>
      </c>
      <c r="H81" s="33" t="n">
        <v>1055.79</v>
      </c>
    </row>
    <row r="82" customFormat="false" ht="15" hidden="false" customHeight="false" outlineLevel="0" collapsed="false">
      <c r="B82" s="5" t="s">
        <v>151</v>
      </c>
      <c r="D82" s="33" t="n">
        <f aca="false">SUM(F82:H82)</f>
        <v>708.36</v>
      </c>
      <c r="H82" s="33" t="n">
        <v>708.36</v>
      </c>
    </row>
    <row r="83" customFormat="false" ht="15" hidden="false" customHeight="false" outlineLevel="0" collapsed="false">
      <c r="B83" s="5" t="s">
        <v>152</v>
      </c>
      <c r="D83" s="33" t="n">
        <f aca="false">SUM(F83:H83)</f>
        <v>1052.96</v>
      </c>
      <c r="H83" s="33" t="n">
        <v>1052.96</v>
      </c>
    </row>
    <row r="84" customFormat="false" ht="15" hidden="false" customHeight="false" outlineLevel="0" collapsed="false">
      <c r="B84" s="5" t="s">
        <v>153</v>
      </c>
      <c r="D84" s="33" t="n">
        <f aca="false">SUM(F84:H84)</f>
        <v>1843.49</v>
      </c>
      <c r="H84" s="33" t="n">
        <v>1843.49</v>
      </c>
    </row>
    <row r="85" customFormat="false" ht="15" hidden="false" customHeight="false" outlineLevel="0" collapsed="false">
      <c r="B85" s="5" t="s">
        <v>154</v>
      </c>
      <c r="D85" s="33" t="n">
        <f aca="false">SUM(F85:H85)</f>
        <v>1263.38</v>
      </c>
      <c r="H85" s="33" t="n">
        <v>1263.38</v>
      </c>
    </row>
    <row r="86" customFormat="false" ht="15" hidden="false" customHeight="false" outlineLevel="0" collapsed="false">
      <c r="B86" s="5" t="s">
        <v>155</v>
      </c>
      <c r="D86" s="33" t="n">
        <f aca="false">SUM(F86:H86)</f>
        <v>673.55</v>
      </c>
      <c r="H86" s="33" t="n">
        <v>673.55</v>
      </c>
    </row>
    <row r="87" customFormat="false" ht="15" hidden="false" customHeight="false" outlineLevel="0" collapsed="false">
      <c r="B87" s="5" t="s">
        <v>156</v>
      </c>
      <c r="D87" s="33" t="n">
        <f aca="false">SUM(F87:H87)</f>
        <v>4284.8</v>
      </c>
      <c r="H87" s="33" t="n">
        <v>4284.8</v>
      </c>
    </row>
    <row r="88" customFormat="false" ht="15" hidden="false" customHeight="false" outlineLevel="0" collapsed="false">
      <c r="B88" s="11" t="s">
        <v>123</v>
      </c>
      <c r="D88" s="34" t="n">
        <f aca="false">SUM(D62:D87)</f>
        <v>32251.52</v>
      </c>
      <c r="F88" s="34" t="n">
        <f aca="false">SUM(F62:F87)</f>
        <v>8373.51</v>
      </c>
      <c r="H88" s="34" t="n">
        <f aca="false">SUM(H62:H87)</f>
        <v>23878.01</v>
      </c>
    </row>
    <row r="89" customFormat="false" ht="15" hidden="false" customHeight="false" outlineLevel="0" collapsed="false">
      <c r="B89" s="30" t="s">
        <v>100</v>
      </c>
      <c r="F89" s="31" t="n">
        <f aca="false">F88/D88</f>
        <v>0.259631484035481</v>
      </c>
      <c r="H89" s="31" t="n">
        <f aca="false">H88/D88</f>
        <v>0.740368515964519</v>
      </c>
    </row>
    <row r="91" customFormat="false" ht="15" hidden="false" customHeight="false" outlineLevel="0" collapsed="false">
      <c r="A91" s="10" t="s">
        <v>118</v>
      </c>
    </row>
    <row r="92" customFormat="false" ht="15" hidden="false" customHeight="false" outlineLevel="0" collapsed="false">
      <c r="B92" s="4" t="s">
        <v>119</v>
      </c>
      <c r="D92" s="4" t="s">
        <v>72</v>
      </c>
      <c r="F92" s="4" t="s">
        <v>126</v>
      </c>
      <c r="H92" s="4" t="s">
        <v>105</v>
      </c>
    </row>
    <row r="93" customFormat="false" ht="15" hidden="false" customHeight="false" outlineLevel="0" collapsed="false">
      <c r="B93" s="5" t="str">
        <f aca="false">'Laundry 1'!B17</f>
        <v>2 - Building - L1 - 5yr</v>
      </c>
      <c r="D93" s="33" t="n">
        <f aca="false">SUM(F93:H93)</f>
        <v>6825.37</v>
      </c>
      <c r="F93" s="33" t="n">
        <f aca="false">'Laundry 1'!D17</f>
        <v>6825.37</v>
      </c>
    </row>
    <row r="94" customFormat="false" ht="15" hidden="false" customHeight="false" outlineLevel="0" collapsed="false">
      <c r="B94" s="5" t="str">
        <f aca="false">'Laundry 1'!B18</f>
        <v>2 - Building - L1 - 27.5yr</v>
      </c>
      <c r="D94" s="33" t="n">
        <f aca="false">SUM(F94:H94)</f>
        <v>19463.3</v>
      </c>
      <c r="H94" s="33" t="n">
        <f aca="false">'Laundry 1'!D18</f>
        <v>19463.3</v>
      </c>
    </row>
    <row r="95" customFormat="false" ht="15" hidden="false" customHeight="false" outlineLevel="0" collapsed="false">
      <c r="B95" s="5" t="str">
        <f aca="false">'Laundry 1'!B19</f>
        <v>4 - Equipment - L1 - 5yr</v>
      </c>
      <c r="D95" s="33" t="n">
        <f aca="false">SUM(F95:H95)</f>
        <v>846.9</v>
      </c>
      <c r="F95" s="33" t="n">
        <f aca="false">'Laundry 1'!D19</f>
        <v>846.9</v>
      </c>
    </row>
    <row r="96" customFormat="false" ht="15" hidden="false" customHeight="false" outlineLevel="0" collapsed="false">
      <c r="B96" s="5" t="str">
        <f aca="false">'Laundry 1'!B20</f>
        <v>4 - Equipment - L1 - 27.5yr</v>
      </c>
      <c r="D96" s="33" t="n">
        <f aca="false">SUM(F96:H96)</f>
        <v>2415.02</v>
      </c>
      <c r="H96" s="33" t="n">
        <f aca="false">'Laundry 1'!D20</f>
        <v>2415.02</v>
      </c>
    </row>
    <row r="97" customFormat="false" ht="15" hidden="false" customHeight="false" outlineLevel="0" collapsed="false">
      <c r="B97" s="5" t="str">
        <f aca="false">'Laundry 1'!B21</f>
        <v>5 - Land Improvements - L1 - 5yr</v>
      </c>
      <c r="D97" s="33" t="n">
        <f aca="false">SUM(F97:H97)</f>
        <v>701.24</v>
      </c>
      <c r="F97" s="33" t="n">
        <f aca="false">'Laundry 1'!D21</f>
        <v>701.24</v>
      </c>
    </row>
    <row r="98" customFormat="false" ht="15" hidden="false" customHeight="false" outlineLevel="0" collapsed="false">
      <c r="B98" s="5" t="str">
        <f aca="false">'Laundry 1'!B22</f>
        <v>5 - Land Improvements - L1 - 27.5yr</v>
      </c>
      <c r="D98" s="33" t="n">
        <f aca="false">SUM(F98:H98)</f>
        <v>1999.69</v>
      </c>
      <c r="H98" s="33" t="n">
        <f aca="false">'Laundry 1'!D22</f>
        <v>1999.69</v>
      </c>
    </row>
    <row r="99" customFormat="false" ht="15" hidden="false" customHeight="false" outlineLevel="0" collapsed="false">
      <c r="B99" s="11" t="s">
        <v>120</v>
      </c>
      <c r="D99" s="34" t="n">
        <f aca="false">SUM(D93:D98)</f>
        <v>32251.52</v>
      </c>
      <c r="F99" s="34" t="n">
        <f aca="false">SUM(F93:F98)</f>
        <v>8373.51</v>
      </c>
      <c r="H99" s="34" t="n">
        <f aca="false">SUM(H93:H98)</f>
        <v>23878.01</v>
      </c>
    </row>
    <row r="100" customFormat="false" ht="15" hidden="false" customHeight="false" outlineLevel="0" collapsed="false">
      <c r="B100" s="16" t="s">
        <v>121</v>
      </c>
      <c r="D100" s="17" t="n">
        <f aca="false">D99-D88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169</v>
      </c>
    </row>
    <row r="5" customFormat="false" ht="15" hidden="false" customHeight="false" outlineLevel="0" collapsed="false">
      <c r="A5" s="16" t="s">
        <v>66</v>
      </c>
    </row>
    <row r="7" customFormat="false" ht="15" hidden="false" customHeight="false" outlineLevel="0" collapsed="false">
      <c r="A7" s="10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79</v>
      </c>
      <c r="L9" s="4" t="s">
        <v>80</v>
      </c>
    </row>
    <row r="10" customFormat="false" ht="15" hidden="false" customHeight="false" outlineLevel="0" collapsed="false">
      <c r="A10" s="23" t="n">
        <v>1</v>
      </c>
      <c r="B10" s="23" t="s">
        <v>25</v>
      </c>
      <c r="C10" s="23" t="s">
        <v>15</v>
      </c>
      <c r="D10" s="24" t="n">
        <v>30475.01</v>
      </c>
      <c r="E10" s="24" t="n">
        <v>0</v>
      </c>
      <c r="F10" s="24" t="n">
        <v>0</v>
      </c>
      <c r="G10" s="24" t="n">
        <v>8357.51</v>
      </c>
      <c r="H10" s="24" t="n">
        <v>1108.18</v>
      </c>
      <c r="I10" s="24" t="n">
        <f aca="false">G10+H10</f>
        <v>9465.69</v>
      </c>
      <c r="J10" s="24" t="n">
        <f aca="false">D10-I10</f>
        <v>21009.32</v>
      </c>
      <c r="K10" s="25" t="s">
        <v>81</v>
      </c>
      <c r="L10" s="25" t="s">
        <v>82</v>
      </c>
    </row>
    <row r="11" customFormat="false" ht="15" hidden="false" customHeight="false" outlineLevel="0" collapsed="false">
      <c r="A11" s="23" t="n">
        <v>2</v>
      </c>
      <c r="B11" s="23" t="s">
        <v>26</v>
      </c>
      <c r="C11" s="23" t="s">
        <v>15</v>
      </c>
      <c r="D11" s="24" t="n">
        <v>3781.39</v>
      </c>
      <c r="E11" s="24" t="n">
        <v>0</v>
      </c>
      <c r="F11" s="24" t="n">
        <v>0</v>
      </c>
      <c r="G11" s="24" t="n">
        <v>3781.39</v>
      </c>
      <c r="H11" s="24" t="n">
        <v>0</v>
      </c>
      <c r="I11" s="24" t="n">
        <f aca="false">G11+H11</f>
        <v>3781.39</v>
      </c>
      <c r="J11" s="24" t="n">
        <f aca="false">D11-I11</f>
        <v>0</v>
      </c>
      <c r="K11" s="25" t="s">
        <v>83</v>
      </c>
      <c r="L11" s="25" t="s">
        <v>84</v>
      </c>
    </row>
    <row r="12" customFormat="false" ht="15" hidden="false" customHeight="false" outlineLevel="0" collapsed="false">
      <c r="A12" s="23" t="n">
        <v>3</v>
      </c>
      <c r="B12" s="23" t="s">
        <v>27</v>
      </c>
      <c r="C12" s="23" t="s">
        <v>15</v>
      </c>
      <c r="D12" s="24" t="n">
        <v>3131.05</v>
      </c>
      <c r="E12" s="24" t="n">
        <v>0</v>
      </c>
      <c r="F12" s="24" t="n">
        <v>0</v>
      </c>
      <c r="G12" s="24" t="n">
        <v>1551.82</v>
      </c>
      <c r="H12" s="24" t="n">
        <v>184.88</v>
      </c>
      <c r="I12" s="24" t="n">
        <f aca="false">G12+H12</f>
        <v>1736.7</v>
      </c>
      <c r="J12" s="24" t="n">
        <f aca="false">D12-I12</f>
        <v>1394.35</v>
      </c>
      <c r="K12" s="25" t="s">
        <v>85</v>
      </c>
      <c r="L12" s="25" t="s">
        <v>86</v>
      </c>
    </row>
    <row r="13" customFormat="false" ht="15" hidden="false" customHeight="false" outlineLevel="0" collapsed="false">
      <c r="A13" s="26"/>
      <c r="B13" s="27" t="s">
        <v>28</v>
      </c>
      <c r="C13" s="26"/>
      <c r="D13" s="28" t="n">
        <f aca="false">SUM(D10:D12)</f>
        <v>37387.45</v>
      </c>
      <c r="E13" s="28" t="n">
        <f aca="false">SUM(E10:E12)</f>
        <v>0</v>
      </c>
      <c r="F13" s="28" t="n">
        <f aca="false">SUM(F10:F12)</f>
        <v>0</v>
      </c>
      <c r="G13" s="28" t="n">
        <f aca="false">SUM(G10:G12)</f>
        <v>13690.72</v>
      </c>
      <c r="H13" s="28" t="n">
        <f aca="false">SUM(H10:H12)</f>
        <v>1293.06</v>
      </c>
      <c r="I13" s="28" t="n">
        <f aca="false">SUM(I10:I12)</f>
        <v>14983.78</v>
      </c>
      <c r="J13" s="28" t="n">
        <f aca="false">SUM(J10:J12)</f>
        <v>22403.67</v>
      </c>
      <c r="K13" s="26"/>
      <c r="L13" s="26"/>
    </row>
    <row r="15" customFormat="false" ht="15" hidden="false" customHeight="false" outlineLevel="0" collapsed="false">
      <c r="A15" s="21" t="s">
        <v>87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4" t="s">
        <v>75</v>
      </c>
      <c r="H16" s="4" t="s">
        <v>76</v>
      </c>
      <c r="I16" s="4" t="s">
        <v>77</v>
      </c>
      <c r="J16" s="4" t="s">
        <v>78</v>
      </c>
      <c r="K16" s="4" t="s">
        <v>79</v>
      </c>
      <c r="L16" s="4" t="s">
        <v>80</v>
      </c>
    </row>
    <row r="17" customFormat="false" ht="15" hidden="false" customHeight="false" outlineLevel="0" collapsed="false">
      <c r="A17" s="23" t="n">
        <v>1</v>
      </c>
      <c r="B17" s="23" t="s">
        <v>48</v>
      </c>
      <c r="C17" s="23" t="s">
        <v>15</v>
      </c>
      <c r="D17" s="24" t="n">
        <v>11011.74</v>
      </c>
      <c r="E17" s="24" t="n">
        <v>0</v>
      </c>
      <c r="F17" s="24" t="n">
        <v>0</v>
      </c>
      <c r="G17" s="24" t="n">
        <v>11011.74</v>
      </c>
      <c r="H17" s="24" t="n">
        <v>0</v>
      </c>
      <c r="I17" s="24" t="n">
        <f aca="false">G17+H17</f>
        <v>11011.74</v>
      </c>
      <c r="J17" s="24" t="n">
        <f aca="false">D17-I17</f>
        <v>0</v>
      </c>
      <c r="K17" s="25" t="s">
        <v>83</v>
      </c>
      <c r="L17" s="25" t="s">
        <v>84</v>
      </c>
    </row>
    <row r="18" customFormat="false" ht="15" hidden="false" customHeight="false" outlineLevel="0" collapsed="false">
      <c r="A18" s="23" t="n">
        <v>2</v>
      </c>
      <c r="B18" s="23" t="s">
        <v>49</v>
      </c>
      <c r="C18" s="23" t="s">
        <v>15</v>
      </c>
      <c r="D18" s="24" t="n">
        <v>19463.27</v>
      </c>
      <c r="E18" s="24" t="n">
        <v>0</v>
      </c>
      <c r="F18" s="24" t="n">
        <v>0</v>
      </c>
      <c r="G18" s="24" t="n">
        <v>5337.77</v>
      </c>
      <c r="H18" s="24" t="n">
        <v>707.76</v>
      </c>
      <c r="I18" s="24" t="n">
        <f aca="false">G18+H18</f>
        <v>6045.53</v>
      </c>
      <c r="J18" s="24" t="n">
        <f aca="false">D18-I18</f>
        <v>13417.74</v>
      </c>
      <c r="K18" s="25" t="s">
        <v>81</v>
      </c>
      <c r="L18" s="25" t="s">
        <v>82</v>
      </c>
    </row>
    <row r="19" customFormat="false" ht="15" hidden="false" customHeight="false" outlineLevel="0" collapsed="false">
      <c r="A19" s="23" t="n">
        <v>3</v>
      </c>
      <c r="B19" s="23" t="s">
        <v>50</v>
      </c>
      <c r="C19" s="23" t="s">
        <v>15</v>
      </c>
      <c r="D19" s="24" t="n">
        <v>1366.36</v>
      </c>
      <c r="E19" s="24" t="n">
        <v>0</v>
      </c>
      <c r="F19" s="24" t="n">
        <v>0</v>
      </c>
      <c r="G19" s="24" t="n">
        <v>1366.36</v>
      </c>
      <c r="H19" s="24" t="n">
        <v>0</v>
      </c>
      <c r="I19" s="24" t="n">
        <f aca="false">G19+H19</f>
        <v>1366.36</v>
      </c>
      <c r="J19" s="24" t="n">
        <f aca="false">D19-I19</f>
        <v>0</v>
      </c>
      <c r="K19" s="25" t="s">
        <v>83</v>
      </c>
      <c r="L19" s="25" t="s">
        <v>84</v>
      </c>
    </row>
    <row r="20" customFormat="false" ht="15" hidden="false" customHeight="false" outlineLevel="0" collapsed="false">
      <c r="A20" s="23" t="n">
        <v>4</v>
      </c>
      <c r="B20" s="23" t="s">
        <v>51</v>
      </c>
      <c r="C20" s="23" t="s">
        <v>15</v>
      </c>
      <c r="D20" s="24" t="n">
        <v>2415.03</v>
      </c>
      <c r="E20" s="24" t="n">
        <v>0</v>
      </c>
      <c r="F20" s="24" t="n">
        <v>0</v>
      </c>
      <c r="G20" s="24" t="n">
        <v>662.31</v>
      </c>
      <c r="H20" s="24" t="n">
        <v>87.82</v>
      </c>
      <c r="I20" s="24" t="n">
        <f aca="false">G20+H20</f>
        <v>750.13</v>
      </c>
      <c r="J20" s="24" t="n">
        <f aca="false">D20-I20</f>
        <v>1664.9</v>
      </c>
      <c r="K20" s="25" t="s">
        <v>81</v>
      </c>
      <c r="L20" s="25" t="s">
        <v>82</v>
      </c>
    </row>
    <row r="21" customFormat="false" ht="15" hidden="false" customHeight="false" outlineLevel="0" collapsed="false">
      <c r="A21" s="23" t="n">
        <v>5</v>
      </c>
      <c r="B21" s="23" t="s">
        <v>52</v>
      </c>
      <c r="C21" s="23" t="s">
        <v>15</v>
      </c>
      <c r="D21" s="24" t="n">
        <v>1131.36</v>
      </c>
      <c r="E21" s="24" t="n">
        <v>0</v>
      </c>
      <c r="F21" s="24" t="n">
        <v>0</v>
      </c>
      <c r="G21" s="24" t="n">
        <v>1131.36</v>
      </c>
      <c r="H21" s="24" t="n">
        <v>0</v>
      </c>
      <c r="I21" s="24" t="n">
        <f aca="false">G21+H21</f>
        <v>1131.36</v>
      </c>
      <c r="J21" s="24" t="n">
        <f aca="false">D21-I21</f>
        <v>0</v>
      </c>
      <c r="K21" s="25" t="s">
        <v>83</v>
      </c>
      <c r="L21" s="25" t="s">
        <v>84</v>
      </c>
    </row>
    <row r="22" customFormat="false" ht="15" hidden="false" customHeight="false" outlineLevel="0" collapsed="false">
      <c r="A22" s="23" t="n">
        <v>6</v>
      </c>
      <c r="B22" s="23" t="s">
        <v>53</v>
      </c>
      <c r="C22" s="23" t="s">
        <v>15</v>
      </c>
      <c r="D22" s="24" t="n">
        <v>1999.69</v>
      </c>
      <c r="E22" s="24" t="n">
        <v>0</v>
      </c>
      <c r="F22" s="24" t="n">
        <v>0</v>
      </c>
      <c r="G22" s="24" t="n">
        <v>548.43</v>
      </c>
      <c r="H22" s="24" t="n">
        <v>72.72</v>
      </c>
      <c r="I22" s="24" t="n">
        <f aca="false">G22+H22</f>
        <v>621.15</v>
      </c>
      <c r="J22" s="24" t="n">
        <f aca="false">D22-I22</f>
        <v>1378.54</v>
      </c>
      <c r="K22" s="25" t="s">
        <v>81</v>
      </c>
      <c r="L22" s="25" t="s">
        <v>82</v>
      </c>
    </row>
    <row r="23" customFormat="false" ht="15" hidden="false" customHeight="false" outlineLevel="0" collapsed="false">
      <c r="A23" s="26"/>
      <c r="B23" s="27" t="s">
        <v>28</v>
      </c>
      <c r="C23" s="26"/>
      <c r="D23" s="28" t="n">
        <f aca="false">SUM(D17:D22)</f>
        <v>37387.45</v>
      </c>
      <c r="E23" s="28" t="n">
        <f aca="false">SUM(E17:E22)</f>
        <v>0</v>
      </c>
      <c r="F23" s="28" t="n">
        <f aca="false">SUM(F17:F22)</f>
        <v>0</v>
      </c>
      <c r="G23" s="28" t="n">
        <f aca="false">SUM(G17:G22)</f>
        <v>20057.97</v>
      </c>
      <c r="H23" s="28" t="n">
        <f aca="false">SUM(H17:H22)</f>
        <v>868.3</v>
      </c>
      <c r="I23" s="28" t="n">
        <f aca="false">SUM(I17:I22)</f>
        <v>20926.27</v>
      </c>
      <c r="J23" s="28" t="n">
        <f aca="false">SUM(J17:J22)</f>
        <v>16461.18</v>
      </c>
      <c r="K23" s="26"/>
      <c r="L23" s="26"/>
    </row>
    <row r="25" customFormat="false" ht="15" hidden="false" customHeight="false" outlineLevel="0" collapsed="false">
      <c r="B25" s="18" t="s">
        <v>88</v>
      </c>
    </row>
    <row r="26" customFormat="false" ht="15" hidden="false" customHeight="false" outlineLevel="0" collapsed="false">
      <c r="B26" s="5" t="s">
        <v>89</v>
      </c>
      <c r="D26" s="6" t="n">
        <f aca="false">I13</f>
        <v>14983.78</v>
      </c>
    </row>
    <row r="27" customFormat="false" ht="15" hidden="false" customHeight="false" outlineLevel="0" collapsed="false">
      <c r="B27" s="5" t="s">
        <v>90</v>
      </c>
      <c r="D27" s="6" t="n">
        <f aca="false">I23</f>
        <v>20926.27</v>
      </c>
    </row>
    <row r="28" customFormat="false" ht="15" hidden="false" customHeight="false" outlineLevel="0" collapsed="false">
      <c r="B28" s="11" t="s">
        <v>88</v>
      </c>
      <c r="D28" s="29" t="n">
        <f aca="false">D26-D27</f>
        <v>-5942.49</v>
      </c>
    </row>
    <row r="30" customFormat="false" ht="15" hidden="false" customHeight="false" outlineLevel="0" collapsed="false">
      <c r="A30" s="10" t="s">
        <v>91</v>
      </c>
    </row>
    <row r="31" customFormat="false" ht="15" hidden="false" customHeight="false" outlineLevel="0" collapsed="false">
      <c r="A31" s="21" t="s">
        <v>92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69</v>
      </c>
      <c r="B32" s="4" t="s">
        <v>70</v>
      </c>
      <c r="C32" s="4" t="s">
        <v>71</v>
      </c>
      <c r="D32" s="4" t="s">
        <v>72</v>
      </c>
      <c r="E32" s="4" t="s">
        <v>73</v>
      </c>
      <c r="F32" s="4" t="s">
        <v>74</v>
      </c>
      <c r="G32" s="4" t="s">
        <v>93</v>
      </c>
      <c r="H32" s="4" t="s">
        <v>94</v>
      </c>
      <c r="I32" s="4" t="s">
        <v>77</v>
      </c>
      <c r="J32" s="4" t="s">
        <v>78</v>
      </c>
      <c r="K32" s="4" t="s">
        <v>79</v>
      </c>
      <c r="L32" s="4" t="s">
        <v>80</v>
      </c>
    </row>
    <row r="33" customFormat="false" ht="15" hidden="false" customHeight="false" outlineLevel="0" collapsed="false">
      <c r="A33" s="23" t="n">
        <v>1</v>
      </c>
      <c r="B33" s="23" t="s">
        <v>25</v>
      </c>
      <c r="C33" s="23" t="s">
        <v>15</v>
      </c>
      <c r="D33" s="24" t="n">
        <v>30475.01</v>
      </c>
      <c r="E33" s="24" t="n">
        <v>0</v>
      </c>
      <c r="F33" s="24" t="n">
        <v>0</v>
      </c>
      <c r="G33" s="24" t="n">
        <v>8357.51</v>
      </c>
      <c r="H33" s="24" t="n">
        <v>1108.18</v>
      </c>
      <c r="I33" s="24" t="n">
        <f aca="false">G33+H33</f>
        <v>9465.69</v>
      </c>
      <c r="J33" s="24" t="n">
        <f aca="false">D33-I33</f>
        <v>21009.32</v>
      </c>
      <c r="K33" s="25" t="s">
        <v>81</v>
      </c>
      <c r="L33" s="25" t="s">
        <v>82</v>
      </c>
    </row>
    <row r="34" customFormat="false" ht="15" hidden="false" customHeight="false" outlineLevel="0" collapsed="false">
      <c r="A34" s="23" t="n">
        <v>2</v>
      </c>
      <c r="B34" s="23" t="s">
        <v>26</v>
      </c>
      <c r="C34" s="23" t="s">
        <v>15</v>
      </c>
      <c r="D34" s="24" t="n">
        <v>3781.39</v>
      </c>
      <c r="E34" s="24" t="n">
        <v>0</v>
      </c>
      <c r="F34" s="24" t="n">
        <v>0</v>
      </c>
      <c r="G34" s="24" t="n">
        <v>3781.39</v>
      </c>
      <c r="H34" s="24" t="n">
        <v>0</v>
      </c>
      <c r="I34" s="24" t="n">
        <f aca="false">G34+H34</f>
        <v>3781.39</v>
      </c>
      <c r="J34" s="24" t="n">
        <f aca="false">D34-I34</f>
        <v>0</v>
      </c>
      <c r="K34" s="25" t="s">
        <v>83</v>
      </c>
      <c r="L34" s="25" t="s">
        <v>84</v>
      </c>
    </row>
    <row r="35" customFormat="false" ht="15" hidden="false" customHeight="false" outlineLevel="0" collapsed="false">
      <c r="A35" s="23" t="n">
        <v>3</v>
      </c>
      <c r="B35" s="23" t="s">
        <v>27</v>
      </c>
      <c r="C35" s="23" t="s">
        <v>15</v>
      </c>
      <c r="D35" s="24" t="n">
        <v>3131.05</v>
      </c>
      <c r="E35" s="24" t="n">
        <v>0</v>
      </c>
      <c r="F35" s="24" t="n">
        <v>0</v>
      </c>
      <c r="G35" s="24" t="n">
        <v>1551.82</v>
      </c>
      <c r="H35" s="24" t="n">
        <v>184.88</v>
      </c>
      <c r="I35" s="24" t="n">
        <f aca="false">G35+H35</f>
        <v>1736.7</v>
      </c>
      <c r="J35" s="24" t="n">
        <f aca="false">D35-I35</f>
        <v>1394.35</v>
      </c>
      <c r="K35" s="25" t="s">
        <v>85</v>
      </c>
      <c r="L35" s="25" t="s">
        <v>86</v>
      </c>
    </row>
    <row r="36" customFormat="false" ht="15" hidden="false" customHeight="false" outlineLevel="0" collapsed="false">
      <c r="A36" s="26"/>
      <c r="B36" s="27" t="s">
        <v>28</v>
      </c>
      <c r="C36" s="26"/>
      <c r="D36" s="28" t="n">
        <f aca="false">SUM(D33:D35)</f>
        <v>37387.45</v>
      </c>
      <c r="E36" s="28" t="n">
        <f aca="false">SUM(E33:E35)</f>
        <v>0</v>
      </c>
      <c r="F36" s="28" t="n">
        <f aca="false">SUM(F33:F35)</f>
        <v>0</v>
      </c>
      <c r="G36" s="28" t="n">
        <f aca="false">SUM(G33:G35)</f>
        <v>13690.72</v>
      </c>
      <c r="H36" s="28" t="n">
        <f aca="false">SUM(H33:H35)</f>
        <v>1293.06</v>
      </c>
      <c r="I36" s="28" t="n">
        <f aca="false">SUM(I33:I35)</f>
        <v>14983.78</v>
      </c>
      <c r="J36" s="28" t="n">
        <f aca="false">SUM(J33:J35)</f>
        <v>22403.67</v>
      </c>
      <c r="K36" s="26"/>
      <c r="L36" s="26"/>
    </row>
    <row r="38" customFormat="false" ht="15" hidden="false" customHeight="false" outlineLevel="0" collapsed="false">
      <c r="A38" s="21" t="s">
        <v>95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69</v>
      </c>
      <c r="B39" s="4" t="s">
        <v>70</v>
      </c>
      <c r="C39" s="4" t="s">
        <v>71</v>
      </c>
      <c r="D39" s="4" t="s">
        <v>72</v>
      </c>
      <c r="E39" s="4" t="s">
        <v>73</v>
      </c>
      <c r="F39" s="4" t="s">
        <v>74</v>
      </c>
      <c r="G39" s="4" t="s">
        <v>93</v>
      </c>
      <c r="H39" s="4" t="s">
        <v>94</v>
      </c>
      <c r="I39" s="4" t="s">
        <v>77</v>
      </c>
      <c r="J39" s="4" t="s">
        <v>78</v>
      </c>
      <c r="K39" s="4" t="s">
        <v>79</v>
      </c>
      <c r="L39" s="4" t="s">
        <v>80</v>
      </c>
    </row>
    <row r="40" customFormat="false" ht="15" hidden="false" customHeight="false" outlineLevel="0" collapsed="false">
      <c r="A40" s="23" t="n">
        <v>1</v>
      </c>
      <c r="B40" s="23" t="s">
        <v>48</v>
      </c>
      <c r="C40" s="23" t="s">
        <v>15</v>
      </c>
      <c r="D40" s="24" t="n">
        <v>11011.74</v>
      </c>
      <c r="E40" s="24" t="n">
        <v>0</v>
      </c>
      <c r="F40" s="24" t="n">
        <v>0</v>
      </c>
      <c r="G40" s="24" t="n">
        <v>11011.74</v>
      </c>
      <c r="H40" s="24" t="n">
        <v>0</v>
      </c>
      <c r="I40" s="24" t="n">
        <f aca="false">G40+H40</f>
        <v>11011.74</v>
      </c>
      <c r="J40" s="24" t="n">
        <f aca="false">D40-I40</f>
        <v>0</v>
      </c>
      <c r="K40" s="25" t="s">
        <v>83</v>
      </c>
      <c r="L40" s="25" t="s">
        <v>84</v>
      </c>
    </row>
    <row r="41" customFormat="false" ht="15" hidden="false" customHeight="false" outlineLevel="0" collapsed="false">
      <c r="A41" s="23" t="n">
        <v>2</v>
      </c>
      <c r="B41" s="23" t="s">
        <v>49</v>
      </c>
      <c r="C41" s="23" t="s">
        <v>15</v>
      </c>
      <c r="D41" s="24" t="n">
        <v>19463.27</v>
      </c>
      <c r="E41" s="24" t="n">
        <v>0</v>
      </c>
      <c r="F41" s="24" t="n">
        <v>0</v>
      </c>
      <c r="G41" s="24" t="n">
        <v>5337.77</v>
      </c>
      <c r="H41" s="24" t="n">
        <v>707.76</v>
      </c>
      <c r="I41" s="24" t="n">
        <f aca="false">G41+H41</f>
        <v>6045.53</v>
      </c>
      <c r="J41" s="24" t="n">
        <f aca="false">D41-I41</f>
        <v>13417.74</v>
      </c>
      <c r="K41" s="25" t="s">
        <v>81</v>
      </c>
      <c r="L41" s="25" t="s">
        <v>82</v>
      </c>
    </row>
    <row r="42" customFormat="false" ht="15" hidden="false" customHeight="false" outlineLevel="0" collapsed="false">
      <c r="A42" s="23" t="n">
        <v>3</v>
      </c>
      <c r="B42" s="23" t="s">
        <v>50</v>
      </c>
      <c r="C42" s="23" t="s">
        <v>15</v>
      </c>
      <c r="D42" s="24" t="n">
        <v>1366.36</v>
      </c>
      <c r="E42" s="24" t="n">
        <v>0</v>
      </c>
      <c r="F42" s="24" t="n">
        <v>0</v>
      </c>
      <c r="G42" s="24" t="n">
        <v>1366.36</v>
      </c>
      <c r="H42" s="24" t="n">
        <v>0</v>
      </c>
      <c r="I42" s="24" t="n">
        <f aca="false">G42+H42</f>
        <v>1366.36</v>
      </c>
      <c r="J42" s="24" t="n">
        <f aca="false">D42-I42</f>
        <v>0</v>
      </c>
      <c r="K42" s="25" t="s">
        <v>83</v>
      </c>
      <c r="L42" s="25" t="s">
        <v>84</v>
      </c>
    </row>
    <row r="43" customFormat="false" ht="15" hidden="false" customHeight="false" outlineLevel="0" collapsed="false">
      <c r="A43" s="23" t="n">
        <v>4</v>
      </c>
      <c r="B43" s="23" t="s">
        <v>51</v>
      </c>
      <c r="C43" s="23" t="s">
        <v>15</v>
      </c>
      <c r="D43" s="24" t="n">
        <v>2415.03</v>
      </c>
      <c r="E43" s="24" t="n">
        <v>0</v>
      </c>
      <c r="F43" s="24" t="n">
        <v>0</v>
      </c>
      <c r="G43" s="24" t="n">
        <v>662.31</v>
      </c>
      <c r="H43" s="24" t="n">
        <v>87.82</v>
      </c>
      <c r="I43" s="24" t="n">
        <f aca="false">G43+H43</f>
        <v>750.13</v>
      </c>
      <c r="J43" s="24" t="n">
        <f aca="false">D43-I43</f>
        <v>1664.9</v>
      </c>
      <c r="K43" s="25" t="s">
        <v>81</v>
      </c>
      <c r="L43" s="25" t="s">
        <v>82</v>
      </c>
    </row>
    <row r="44" customFormat="false" ht="15" hidden="false" customHeight="false" outlineLevel="0" collapsed="false">
      <c r="A44" s="23" t="n">
        <v>5</v>
      </c>
      <c r="B44" s="23" t="s">
        <v>52</v>
      </c>
      <c r="C44" s="23" t="s">
        <v>15</v>
      </c>
      <c r="D44" s="24" t="n">
        <v>1131.36</v>
      </c>
      <c r="E44" s="24" t="n">
        <v>0</v>
      </c>
      <c r="F44" s="24" t="n">
        <v>0</v>
      </c>
      <c r="G44" s="24" t="n">
        <v>1131.36</v>
      </c>
      <c r="H44" s="24" t="n">
        <v>0</v>
      </c>
      <c r="I44" s="24" t="n">
        <f aca="false">G44+H44</f>
        <v>1131.36</v>
      </c>
      <c r="J44" s="24" t="n">
        <f aca="false">D44-I44</f>
        <v>0</v>
      </c>
      <c r="K44" s="25" t="s">
        <v>83</v>
      </c>
      <c r="L44" s="25" t="s">
        <v>84</v>
      </c>
    </row>
    <row r="45" customFormat="false" ht="15" hidden="false" customHeight="false" outlineLevel="0" collapsed="false">
      <c r="A45" s="23" t="n">
        <v>6</v>
      </c>
      <c r="B45" s="23" t="s">
        <v>53</v>
      </c>
      <c r="C45" s="23" t="s">
        <v>15</v>
      </c>
      <c r="D45" s="24" t="n">
        <v>1999.69</v>
      </c>
      <c r="E45" s="24" t="n">
        <v>0</v>
      </c>
      <c r="F45" s="24" t="n">
        <v>0</v>
      </c>
      <c r="G45" s="24" t="n">
        <v>548.43</v>
      </c>
      <c r="H45" s="24" t="n">
        <v>72.72</v>
      </c>
      <c r="I45" s="24" t="n">
        <f aca="false">G45+H45</f>
        <v>621.15</v>
      </c>
      <c r="J45" s="24" t="n">
        <f aca="false">D45-I45</f>
        <v>1378.54</v>
      </c>
      <c r="K45" s="25" t="s">
        <v>81</v>
      </c>
      <c r="L45" s="25" t="s">
        <v>82</v>
      </c>
    </row>
    <row r="46" customFormat="false" ht="15" hidden="false" customHeight="false" outlineLevel="0" collapsed="false">
      <c r="A46" s="26"/>
      <c r="B46" s="27" t="s">
        <v>28</v>
      </c>
      <c r="C46" s="26"/>
      <c r="D46" s="28" t="n">
        <f aca="false">SUM(D40:D45)</f>
        <v>37387.45</v>
      </c>
      <c r="E46" s="28" t="n">
        <f aca="false">SUM(E40:E45)</f>
        <v>0</v>
      </c>
      <c r="F46" s="28" t="n">
        <f aca="false">SUM(F40:F45)</f>
        <v>0</v>
      </c>
      <c r="G46" s="28" t="n">
        <f aca="false">SUM(G40:G45)</f>
        <v>20057.97</v>
      </c>
      <c r="H46" s="28" t="n">
        <f aca="false">SUM(H40:H45)</f>
        <v>868.3</v>
      </c>
      <c r="I46" s="28" t="n">
        <f aca="false">SUM(I40:I45)</f>
        <v>20926.27</v>
      </c>
      <c r="J46" s="28" t="n">
        <f aca="false">SUM(J40:J45)</f>
        <v>16461.18</v>
      </c>
      <c r="K46" s="26"/>
      <c r="L46" s="26"/>
    </row>
    <row r="48" customFormat="false" ht="15" hidden="false" customHeight="false" outlineLevel="0" collapsed="false">
      <c r="B48" s="18" t="s">
        <v>96</v>
      </c>
    </row>
    <row r="49" customFormat="false" ht="15" hidden="false" customHeight="false" outlineLevel="0" collapsed="false">
      <c r="B49" s="5" t="s">
        <v>89</v>
      </c>
      <c r="D49" s="6" t="n">
        <f aca="false">I36</f>
        <v>14983.78</v>
      </c>
    </row>
    <row r="50" customFormat="false" ht="15" hidden="false" customHeight="false" outlineLevel="0" collapsed="false">
      <c r="B50" s="5" t="s">
        <v>90</v>
      </c>
      <c r="D50" s="6" t="n">
        <f aca="false">I46</f>
        <v>20926.27</v>
      </c>
    </row>
    <row r="51" customFormat="false" ht="15" hidden="false" customHeight="false" outlineLevel="0" collapsed="false">
      <c r="B51" s="11" t="s">
        <v>96</v>
      </c>
      <c r="D51" s="29" t="n">
        <f aca="false">D49-D50</f>
        <v>-5942.49</v>
      </c>
    </row>
    <row r="53" customFormat="false" ht="15" hidden="false" customHeight="false" outlineLevel="0" collapsed="false">
      <c r="A53" s="10" t="s">
        <v>97</v>
      </c>
    </row>
    <row r="54" customFormat="false" ht="15" hidden="false" customHeight="false" outlineLevel="0" collapsed="false">
      <c r="B54" s="11" t="s">
        <v>123</v>
      </c>
      <c r="D54" s="12" t="n">
        <f aca="false">D89</f>
        <v>37387.45</v>
      </c>
    </row>
    <row r="55" customFormat="false" ht="15" hidden="false" customHeight="false" outlineLevel="0" collapsed="false">
      <c r="B55" s="5" t="s">
        <v>124</v>
      </c>
      <c r="D55" s="6" t="n">
        <f aca="false">F89</f>
        <v>13509.46</v>
      </c>
    </row>
    <row r="56" customFormat="false" ht="15" hidden="false" customHeight="false" outlineLevel="0" collapsed="false">
      <c r="B56" s="30" t="s">
        <v>100</v>
      </c>
      <c r="D56" s="31" t="n">
        <f aca="false">F90</f>
        <v>0.361336758725187</v>
      </c>
    </row>
    <row r="57" customFormat="false" ht="15" hidden="false" customHeight="false" outlineLevel="0" collapsed="false">
      <c r="B57" s="5" t="s">
        <v>125</v>
      </c>
      <c r="D57" s="6" t="n">
        <f aca="false">H89</f>
        <v>23877.99</v>
      </c>
    </row>
    <row r="58" customFormat="false" ht="15" hidden="false" customHeight="false" outlineLevel="0" collapsed="false">
      <c r="B58" s="30" t="s">
        <v>100</v>
      </c>
      <c r="D58" s="31" t="n">
        <f aca="false">H90</f>
        <v>0.638663241274813</v>
      </c>
    </row>
    <row r="60" customFormat="false" ht="15" hidden="false" customHeight="false" outlineLevel="0" collapsed="false">
      <c r="A60" s="10" t="s">
        <v>102</v>
      </c>
    </row>
    <row r="61" customFormat="false" ht="15" hidden="false" customHeight="false" outlineLevel="0" collapsed="false">
      <c r="B61" s="4" t="s">
        <v>103</v>
      </c>
      <c r="D61" s="4" t="s">
        <v>72</v>
      </c>
      <c r="F61" s="4" t="s">
        <v>126</v>
      </c>
      <c r="H61" s="4" t="s">
        <v>105</v>
      </c>
    </row>
    <row r="62" customFormat="false" ht="15" hidden="false" customHeight="false" outlineLevel="0" collapsed="false">
      <c r="B62" s="32" t="s">
        <v>127</v>
      </c>
    </row>
    <row r="63" customFormat="false" ht="15" hidden="false" customHeight="false" outlineLevel="0" collapsed="false">
      <c r="B63" s="5" t="s">
        <v>128</v>
      </c>
      <c r="D63" s="33" t="n">
        <f aca="false">SUM(F63:H63)</f>
        <v>148.53</v>
      </c>
      <c r="F63" s="33" t="n">
        <v>148.53</v>
      </c>
    </row>
    <row r="64" customFormat="false" ht="15" hidden="false" customHeight="false" outlineLevel="0" collapsed="false">
      <c r="B64" s="5" t="s">
        <v>129</v>
      </c>
      <c r="D64" s="33" t="n">
        <f aca="false">SUM(F64:H64)</f>
        <v>292.56</v>
      </c>
      <c r="F64" s="33" t="n">
        <v>292.56</v>
      </c>
    </row>
    <row r="65" customFormat="false" ht="15" hidden="false" customHeight="false" outlineLevel="0" collapsed="false">
      <c r="B65" s="5" t="s">
        <v>130</v>
      </c>
      <c r="D65" s="33" t="n">
        <f aca="false">SUM(F65:H65)</f>
        <v>855.53</v>
      </c>
      <c r="F65" s="33" t="n">
        <v>855.53</v>
      </c>
    </row>
    <row r="66" customFormat="false" ht="15" hidden="false" customHeight="false" outlineLevel="0" collapsed="false">
      <c r="B66" s="5" t="s">
        <v>166</v>
      </c>
      <c r="D66" s="33" t="n">
        <f aca="false">SUM(F66:H66)</f>
        <v>145.41</v>
      </c>
      <c r="F66" s="33" t="n">
        <v>145.41</v>
      </c>
    </row>
    <row r="67" customFormat="false" ht="15" hidden="false" customHeight="false" outlineLevel="0" collapsed="false">
      <c r="B67" s="5" t="s">
        <v>133</v>
      </c>
      <c r="D67" s="33" t="n">
        <f aca="false">SUM(F67:H67)</f>
        <v>383.89</v>
      </c>
      <c r="F67" s="33" t="n">
        <v>383.89</v>
      </c>
    </row>
    <row r="68" customFormat="false" ht="15" hidden="false" customHeight="false" outlineLevel="0" collapsed="false">
      <c r="B68" s="5" t="s">
        <v>167</v>
      </c>
      <c r="D68" s="33" t="n">
        <f aca="false">SUM(F68:H68)</f>
        <v>231.79</v>
      </c>
      <c r="F68" s="33" t="n">
        <v>231.79</v>
      </c>
    </row>
    <row r="69" customFormat="false" ht="15" hidden="false" customHeight="false" outlineLevel="0" collapsed="false">
      <c r="B69" s="5" t="s">
        <v>136</v>
      </c>
      <c r="D69" s="33" t="n">
        <f aca="false">SUM(F69:H69)</f>
        <v>1223.14</v>
      </c>
      <c r="F69" s="33" t="n">
        <v>1223.14</v>
      </c>
    </row>
    <row r="70" customFormat="false" ht="15" hidden="false" customHeight="false" outlineLevel="0" collapsed="false">
      <c r="B70" s="5" t="s">
        <v>137</v>
      </c>
      <c r="D70" s="33" t="n">
        <f aca="false">SUM(F70:H70)</f>
        <v>199.38</v>
      </c>
      <c r="F70" s="33" t="n">
        <v>199.38</v>
      </c>
    </row>
    <row r="71" customFormat="false" ht="15" hidden="false" customHeight="false" outlineLevel="0" collapsed="false">
      <c r="B71" s="5" t="s">
        <v>168</v>
      </c>
      <c r="D71" s="33" t="n">
        <f aca="false">SUM(F71:H71)</f>
        <v>967.76</v>
      </c>
      <c r="F71" s="33" t="n">
        <v>967.76</v>
      </c>
    </row>
    <row r="72" customFormat="false" ht="15" hidden="false" customHeight="false" outlineLevel="0" collapsed="false">
      <c r="B72" s="5" t="s">
        <v>139</v>
      </c>
      <c r="D72" s="33" t="n">
        <f aca="false">SUM(F72:H72)</f>
        <v>574.11</v>
      </c>
      <c r="F72" s="33" t="n">
        <v>574.11</v>
      </c>
    </row>
    <row r="73" customFormat="false" ht="15" hidden="false" customHeight="false" outlineLevel="0" collapsed="false">
      <c r="B73" s="5" t="s">
        <v>170</v>
      </c>
      <c r="D73" s="33" t="n">
        <f aca="false">SUM(F73:H73)</f>
        <v>5135.94</v>
      </c>
      <c r="F73" s="33" t="n">
        <v>5135.94</v>
      </c>
    </row>
    <row r="74" customFormat="false" ht="15" hidden="false" customHeight="false" outlineLevel="0" collapsed="false">
      <c r="B74" s="5" t="s">
        <v>141</v>
      </c>
      <c r="D74" s="33" t="n">
        <f aca="false">SUM(F74:H74)</f>
        <v>3351.42</v>
      </c>
      <c r="F74" s="33" t="n">
        <v>3351.42</v>
      </c>
    </row>
    <row r="75" customFormat="false" ht="15" hidden="false" customHeight="false" outlineLevel="0" collapsed="false">
      <c r="B75" s="32" t="s">
        <v>142</v>
      </c>
    </row>
    <row r="76" customFormat="false" ht="15" hidden="false" customHeight="false" outlineLevel="0" collapsed="false">
      <c r="B76" s="5" t="s">
        <v>143</v>
      </c>
      <c r="D76" s="33" t="n">
        <f aca="false">SUM(F76:H76)</f>
        <v>2719.65</v>
      </c>
      <c r="H76" s="33" t="n">
        <v>2719.65</v>
      </c>
    </row>
    <row r="77" customFormat="false" ht="15" hidden="false" customHeight="false" outlineLevel="0" collapsed="false">
      <c r="B77" s="5" t="s">
        <v>144</v>
      </c>
      <c r="D77" s="33" t="n">
        <f aca="false">SUM(F77:H77)</f>
        <v>3519.01</v>
      </c>
      <c r="H77" s="33" t="n">
        <v>3519.01</v>
      </c>
    </row>
    <row r="78" customFormat="false" ht="15" hidden="false" customHeight="false" outlineLevel="0" collapsed="false">
      <c r="B78" s="5" t="s">
        <v>145</v>
      </c>
      <c r="D78" s="33" t="n">
        <f aca="false">SUM(F78:H78)</f>
        <v>2302.99</v>
      </c>
      <c r="H78" s="33" t="n">
        <v>2302.99</v>
      </c>
    </row>
    <row r="79" customFormat="false" ht="15" hidden="false" customHeight="false" outlineLevel="0" collapsed="false">
      <c r="B79" s="5" t="s">
        <v>146</v>
      </c>
      <c r="D79" s="33" t="n">
        <f aca="false">SUM(F79:H79)</f>
        <v>2425.62</v>
      </c>
      <c r="H79" s="33" t="n">
        <v>2425.62</v>
      </c>
    </row>
    <row r="80" customFormat="false" ht="15" hidden="false" customHeight="false" outlineLevel="0" collapsed="false">
      <c r="B80" s="5" t="s">
        <v>148</v>
      </c>
      <c r="D80" s="33" t="n">
        <f aca="false">SUM(F80:H80)</f>
        <v>317.12</v>
      </c>
      <c r="H80" s="33" t="n">
        <v>317.12</v>
      </c>
    </row>
    <row r="81" customFormat="false" ht="15" hidden="false" customHeight="false" outlineLevel="0" collapsed="false">
      <c r="B81" s="5" t="s">
        <v>149</v>
      </c>
      <c r="D81" s="33" t="n">
        <f aca="false">SUM(F81:H81)</f>
        <v>1711.27</v>
      </c>
      <c r="H81" s="33" t="n">
        <v>1711.27</v>
      </c>
    </row>
    <row r="82" customFormat="false" ht="15" hidden="false" customHeight="false" outlineLevel="0" collapsed="false">
      <c r="B82" s="5" t="s">
        <v>150</v>
      </c>
      <c r="D82" s="33" t="n">
        <f aca="false">SUM(F82:H82)</f>
        <v>1055.79</v>
      </c>
      <c r="H82" s="33" t="n">
        <v>1055.79</v>
      </c>
    </row>
    <row r="83" customFormat="false" ht="15" hidden="false" customHeight="false" outlineLevel="0" collapsed="false">
      <c r="B83" s="5" t="s">
        <v>151</v>
      </c>
      <c r="D83" s="33" t="n">
        <f aca="false">SUM(F83:H83)</f>
        <v>708.36</v>
      </c>
      <c r="H83" s="33" t="n">
        <v>708.36</v>
      </c>
    </row>
    <row r="84" customFormat="false" ht="15" hidden="false" customHeight="false" outlineLevel="0" collapsed="false">
      <c r="B84" s="5" t="s">
        <v>152</v>
      </c>
      <c r="D84" s="33" t="n">
        <f aca="false">SUM(F84:H84)</f>
        <v>1052.96</v>
      </c>
      <c r="H84" s="33" t="n">
        <v>1052.96</v>
      </c>
    </row>
    <row r="85" customFormat="false" ht="15" hidden="false" customHeight="false" outlineLevel="0" collapsed="false">
      <c r="B85" s="5" t="s">
        <v>153</v>
      </c>
      <c r="D85" s="33" t="n">
        <f aca="false">SUM(F85:H85)</f>
        <v>1843.49</v>
      </c>
      <c r="H85" s="33" t="n">
        <v>1843.49</v>
      </c>
    </row>
    <row r="86" customFormat="false" ht="15" hidden="false" customHeight="false" outlineLevel="0" collapsed="false">
      <c r="B86" s="5" t="s">
        <v>154</v>
      </c>
      <c r="D86" s="33" t="n">
        <f aca="false">SUM(F86:H86)</f>
        <v>1263.38</v>
      </c>
      <c r="H86" s="33" t="n">
        <v>1263.38</v>
      </c>
    </row>
    <row r="87" customFormat="false" ht="15" hidden="false" customHeight="false" outlineLevel="0" collapsed="false">
      <c r="B87" s="5" t="s">
        <v>155</v>
      </c>
      <c r="D87" s="33" t="n">
        <f aca="false">SUM(F87:H87)</f>
        <v>673.55</v>
      </c>
      <c r="H87" s="33" t="n">
        <v>673.55</v>
      </c>
    </row>
    <row r="88" customFormat="false" ht="15" hidden="false" customHeight="false" outlineLevel="0" collapsed="false">
      <c r="B88" s="5" t="s">
        <v>156</v>
      </c>
      <c r="D88" s="33" t="n">
        <f aca="false">SUM(F88:H88)</f>
        <v>4284.8</v>
      </c>
      <c r="H88" s="33" t="n">
        <v>4284.8</v>
      </c>
    </row>
    <row r="89" customFormat="false" ht="15" hidden="false" customHeight="false" outlineLevel="0" collapsed="false">
      <c r="B89" s="11" t="s">
        <v>123</v>
      </c>
      <c r="D89" s="34" t="n">
        <f aca="false">SUM(D62:D88)</f>
        <v>37387.45</v>
      </c>
      <c r="F89" s="34" t="n">
        <f aca="false">SUM(F62:F88)</f>
        <v>13509.46</v>
      </c>
      <c r="H89" s="34" t="n">
        <f aca="false">SUM(H62:H88)</f>
        <v>23877.99</v>
      </c>
    </row>
    <row r="90" customFormat="false" ht="15" hidden="false" customHeight="false" outlineLevel="0" collapsed="false">
      <c r="B90" s="30" t="s">
        <v>100</v>
      </c>
      <c r="F90" s="31" t="n">
        <f aca="false">F89/D89</f>
        <v>0.361336758725187</v>
      </c>
      <c r="H90" s="31" t="n">
        <f aca="false">H89/D89</f>
        <v>0.638663241274813</v>
      </c>
    </row>
    <row r="92" customFormat="false" ht="15" hidden="false" customHeight="false" outlineLevel="0" collapsed="false">
      <c r="A92" s="10" t="s">
        <v>118</v>
      </c>
    </row>
    <row r="93" customFormat="false" ht="15" hidden="false" customHeight="false" outlineLevel="0" collapsed="false">
      <c r="B93" s="4" t="s">
        <v>119</v>
      </c>
      <c r="D93" s="4" t="s">
        <v>72</v>
      </c>
      <c r="F93" s="4" t="s">
        <v>126</v>
      </c>
      <c r="H93" s="4" t="s">
        <v>105</v>
      </c>
    </row>
    <row r="94" customFormat="false" ht="15" hidden="false" customHeight="false" outlineLevel="0" collapsed="false">
      <c r="B94" s="5" t="str">
        <f aca="false">'Laundry 2'!B17</f>
        <v>2 - Building - L2 - 5yr</v>
      </c>
      <c r="D94" s="33" t="n">
        <f aca="false">SUM(F94:H94)</f>
        <v>11011.74</v>
      </c>
      <c r="F94" s="33" t="n">
        <f aca="false">'Laundry 2'!D17</f>
        <v>11011.74</v>
      </c>
    </row>
    <row r="95" customFormat="false" ht="15" hidden="false" customHeight="false" outlineLevel="0" collapsed="false">
      <c r="B95" s="5" t="str">
        <f aca="false">'Laundry 2'!B18</f>
        <v>2 - Building - L2 - 27.5yr</v>
      </c>
      <c r="D95" s="33" t="n">
        <f aca="false">SUM(F95:H95)</f>
        <v>19463.27</v>
      </c>
      <c r="H95" s="33" t="n">
        <f aca="false">'Laundry 2'!D18</f>
        <v>19463.27</v>
      </c>
    </row>
    <row r="96" customFormat="false" ht="15" hidden="false" customHeight="false" outlineLevel="0" collapsed="false">
      <c r="B96" s="5" t="str">
        <f aca="false">'Laundry 2'!B19</f>
        <v>4 - Equipment - L2 - 5yr</v>
      </c>
      <c r="D96" s="33" t="n">
        <f aca="false">SUM(F96:H96)</f>
        <v>1366.36</v>
      </c>
      <c r="F96" s="33" t="n">
        <f aca="false">'Laundry 2'!D19</f>
        <v>1366.36</v>
      </c>
    </row>
    <row r="97" customFormat="false" ht="15" hidden="false" customHeight="false" outlineLevel="0" collapsed="false">
      <c r="B97" s="5" t="str">
        <f aca="false">'Laundry 2'!B20</f>
        <v>4 - Equipment - L2 - 27.5yr</v>
      </c>
      <c r="D97" s="33" t="n">
        <f aca="false">SUM(F97:H97)</f>
        <v>2415.03</v>
      </c>
      <c r="H97" s="33" t="n">
        <f aca="false">'Laundry 2'!D20</f>
        <v>2415.03</v>
      </c>
    </row>
    <row r="98" customFormat="false" ht="15" hidden="false" customHeight="false" outlineLevel="0" collapsed="false">
      <c r="B98" s="5" t="str">
        <f aca="false">'Laundry 2'!B21</f>
        <v>5 - Land Improvements - L2 - 5yr</v>
      </c>
      <c r="D98" s="33" t="n">
        <f aca="false">SUM(F98:H98)</f>
        <v>1131.36</v>
      </c>
      <c r="F98" s="33" t="n">
        <f aca="false">'Laundry 2'!D21</f>
        <v>1131.36</v>
      </c>
    </row>
    <row r="99" customFormat="false" ht="15" hidden="false" customHeight="false" outlineLevel="0" collapsed="false">
      <c r="B99" s="5" t="str">
        <f aca="false">'Laundry 2'!B22</f>
        <v>5 - Land Improvements - L2 - 27.5yr</v>
      </c>
      <c r="D99" s="33" t="n">
        <f aca="false">SUM(F99:H99)</f>
        <v>1999.69</v>
      </c>
      <c r="H99" s="33" t="n">
        <f aca="false">'Laundry 2'!D22</f>
        <v>1999.69</v>
      </c>
    </row>
    <row r="100" customFormat="false" ht="15" hidden="false" customHeight="false" outlineLevel="0" collapsed="false">
      <c r="B100" s="11" t="s">
        <v>120</v>
      </c>
      <c r="D100" s="34" t="n">
        <f aca="false">SUM(D94:D99)</f>
        <v>37387.45</v>
      </c>
      <c r="F100" s="34" t="n">
        <f aca="false">SUM(F94:F99)</f>
        <v>13509.46</v>
      </c>
      <c r="H100" s="34" t="n">
        <f aca="false">SUM(H94:H99)</f>
        <v>23877.99</v>
      </c>
    </row>
    <row r="101" customFormat="false" ht="15" hidden="false" customHeight="false" outlineLevel="0" collapsed="false">
      <c r="B101" s="16" t="s">
        <v>121</v>
      </c>
      <c r="D101" s="17" t="n">
        <f aca="false">D100-D89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2026-07-17T19:11:03Z</dcterms:created>
  <dc:creator>openpyxl</dc:creator>
  <dc:description/>
  <dc:language>en-US</dc:language>
  <cp:lastModifiedBy/>
  <dcterms:modified xsi:type="dcterms:W3CDTF">2026-07-17T19:11:04Z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